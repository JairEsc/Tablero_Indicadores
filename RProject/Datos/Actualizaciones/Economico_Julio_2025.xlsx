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EH\Documents\Jair\Repositorios\Tablero_Indicadores\RProject\Datos\Actualizaciones\"/>
    </mc:Choice>
  </mc:AlternateContent>
  <xr:revisionPtr revIDLastSave="0" documentId="13_ncr:1_{E4B4528D-5BC3-48AE-AF23-0F6899CC29CE}" xr6:coauthVersionLast="47" xr6:coauthVersionMax="47" xr10:uidLastSave="{00000000-0000-0000-0000-000000000000}"/>
  <bookViews>
    <workbookView xWindow="12210" yWindow="2700" windowWidth="15720" windowHeight="11775" xr2:uid="{9BD6366F-8E54-4009-931D-62B863D11BF0}"/>
  </bookViews>
  <sheets>
    <sheet name="Nacional" sheetId="2" r:id="rId1"/>
    <sheet name="Hoja3" sheetId="4" r:id="rId2"/>
  </sheets>
  <definedNames>
    <definedName name="_xlnm._FilterDatabase" localSheetId="0" hidden="1">Nacional!$A$1:$AM$90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0" i="2" l="1"/>
  <c r="AM70" i="2"/>
  <c r="C34" i="4"/>
  <c r="B34" i="4"/>
  <c r="AM71" i="2" l="1"/>
  <c r="AM72" i="2"/>
  <c r="AM73" i="2"/>
  <c r="AM74" i="2"/>
  <c r="AM75" i="2"/>
  <c r="AM76" i="2"/>
  <c r="AM77" i="2"/>
  <c r="AM78" i="2"/>
  <c r="AM79" i="2"/>
  <c r="AM81" i="2"/>
  <c r="AM69" i="2"/>
  <c r="AM23" i="2"/>
</calcChain>
</file>

<file path=xl/sharedStrings.xml><?xml version="1.0" encoding="utf-8"?>
<sst xmlns="http://schemas.openxmlformats.org/spreadsheetml/2006/main" count="626" uniqueCount="312">
  <si>
    <t>Descripción</t>
  </si>
  <si>
    <t>Fuente</t>
  </si>
  <si>
    <t>link</t>
  </si>
  <si>
    <t>Periodicidad</t>
  </si>
  <si>
    <t>Año</t>
  </si>
  <si>
    <t>Aguascalientes</t>
  </si>
  <si>
    <t>Baja California</t>
  </si>
  <si>
    <t>Baja California Sur</t>
  </si>
  <si>
    <t>Campeche</t>
  </si>
  <si>
    <t xml:space="preserve">Coahuila 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</si>
  <si>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</si>
  <si>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</si>
  <si>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</si>
  <si>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</si>
  <si>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</si>
  <si>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</si>
  <si>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</si>
  <si>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</si>
  <si>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</si>
  <si>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 xml:space="preserve">México </t>
  </si>
  <si>
    <t xml:space="preserve">Michoacán 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</si>
  <si>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</si>
  <si>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</si>
  <si>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</si>
  <si>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</si>
  <si>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</si>
  <si>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</si>
  <si>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</si>
  <si>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</si>
  <si>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</si>
  <si>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</si>
  <si>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</si>
  <si>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</si>
  <si>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</si>
  <si>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 xml:space="preserve">Veracruz </t>
  </si>
  <si>
    <t>Yucatán</t>
  </si>
  <si>
    <t>Zacatecas</t>
  </si>
  <si>
    <t>TOTAL</t>
  </si>
  <si>
    <t>Población Económicamente Activa PEA</t>
  </si>
  <si>
    <t>INEGI. Encuesta Nacional de Ocupación y Empleo</t>
  </si>
  <si>
    <t>https://www.inegi.org.mx/programas/enoe/15ymas/#tabulados</t>
  </si>
  <si>
    <t>trimestral</t>
  </si>
  <si>
    <t>4o. T 2024</t>
  </si>
  <si>
    <t>Población Ocupada</t>
  </si>
  <si>
    <t>Población desocupada</t>
  </si>
  <si>
    <t>Tasa de Participación</t>
  </si>
  <si>
    <t>Tasa de Desocupación</t>
  </si>
  <si>
    <t>Tasa de Ocupación Parcial y Desocupación</t>
  </si>
  <si>
    <t>Tasa de Presión General</t>
  </si>
  <si>
    <t>Tasa de Trabajo Asalariado</t>
  </si>
  <si>
    <t>Tasa de Subocupación</t>
  </si>
  <si>
    <t>Tasa de Ocupación en el Sector Informal</t>
  </si>
  <si>
    <t>Tasa de Informalidad Laboral</t>
  </si>
  <si>
    <t xml:space="preserve">Trabajadores Asegurados Permanentes por el IMSS </t>
  </si>
  <si>
    <t xml:space="preserve">Total de trabajadores afiliados al IMSS mensual, de los puestos de trabajo registrados por los patrones, de su salario base de cotización y de los asegurados registrados sin un empleo asociado. </t>
  </si>
  <si>
    <t>STPS-IMSS</t>
  </si>
  <si>
    <t>Mensual</t>
  </si>
  <si>
    <t>Unidades Económicas</t>
  </si>
  <si>
    <t>INEGI. Censos Económicos 2024</t>
  </si>
  <si>
    <t>Cuatrienal</t>
  </si>
  <si>
    <t>Personal ocupado en la Unidades Económicas</t>
  </si>
  <si>
    <t>Producción Bruta Total</t>
  </si>
  <si>
    <t>Resultados definitivos de los Censos Económicos 2019, de todos los establecimientos productores de bienes, comercializadores de mercancías y prestadores de servicios.</t>
  </si>
  <si>
    <t>INEGI. Censos Económicos 2019</t>
  </si>
  <si>
    <t>https://www.inegi.org.mx/programas/ce/2019/</t>
  </si>
  <si>
    <t>INEGI</t>
  </si>
  <si>
    <t>*Nota: Debido al metodo de estimacion las series pueden ser modificacadas al incorporarse nueva información</t>
  </si>
  <si>
    <t>Producto Interno Bruto (millones de pesos) / Porcentaje de Participación (VALORES CONSTANTES)</t>
  </si>
  <si>
    <t xml:space="preserve"> Año base 2018</t>
  </si>
  <si>
    <t>Producto Interno Bruto por Entidad Federativa</t>
  </si>
  <si>
    <t>Anual</t>
  </si>
  <si>
    <t>2023 p</t>
  </si>
  <si>
    <t>25, 073, 285</t>
  </si>
  <si>
    <t>IMCO</t>
  </si>
  <si>
    <t>Crecimiento Económico (porcentaje)</t>
  </si>
  <si>
    <t>México ¿Como Vámos?</t>
  </si>
  <si>
    <t>https://mexicocomovamos.mx/semaforos-estatales/</t>
  </si>
  <si>
    <t>Trimestral</t>
  </si>
  <si>
    <t>Semáforos estatales – México ¿cómo vamos? (mexicocomovamos.mx)</t>
  </si>
  <si>
    <t>Empleos Formales Generados Acumulados</t>
  </si>
  <si>
    <t>Trimestral (mensual)</t>
  </si>
  <si>
    <t>Informalidad (porcentaje)</t>
  </si>
  <si>
    <t>Deuda Pública (Porcentaje del PIB)</t>
  </si>
  <si>
    <t>Desigualdad laboral (coeficiente de Gini)</t>
  </si>
  <si>
    <t>Ocupación del Gobierno (Población ocupada en el gobierno como porcentaje de la población ocupada)</t>
  </si>
  <si>
    <t>1er. T 2021</t>
  </si>
  <si>
    <t>Inversión Extranjera Directa (millones de dólares)</t>
  </si>
  <si>
    <t>Secretaría de Economía</t>
  </si>
  <si>
    <t>4T Trimestral</t>
  </si>
  <si>
    <t>https://www.inegi.org.mx/app/saladeprensa/noticia/9627</t>
  </si>
  <si>
    <t>CONEVAL</t>
  </si>
  <si>
    <t>ITLP-IS pobreza laboral</t>
  </si>
  <si>
    <t>Ingreso laboral per cápita  a pesos corrientes (nominal)</t>
  </si>
  <si>
    <t>https://www.coneval.org.mx/Medicion/Documents/ITLP_IS/2024/2T2024/Ingreso_laboral_per_capita_por_entidad_federativa_Sep_2024.pdf</t>
  </si>
  <si>
    <t>Ingreso laboral Per capita (Deflactado con la canasta alimentaria, pesos)</t>
  </si>
  <si>
    <t>Exportaciones</t>
  </si>
  <si>
    <t>https://www.inegi.org.mx/temas/exportacionesef/</t>
  </si>
  <si>
    <t>Ingresos por Remesas (millones de dólares)</t>
  </si>
  <si>
    <t>Banco de México</t>
  </si>
  <si>
    <t>https://www.banxico.org.mx/SieInternet/consultarDirectorioInternetAction.do?accion=consultarCuadro&amp;idCuadro=CE100</t>
  </si>
  <si>
    <t>1T Trimestre</t>
  </si>
  <si>
    <t>Gasto corriente promedio trimestral por hogar</t>
  </si>
  <si>
    <t>INEGI. Encuesta Nacional de Ingreso Gasto en los Hohares ENIGH</t>
  </si>
  <si>
    <t>Encuesta Nacional de Ingresos y Gastos de los Hogares (ENIGH). 2022 Nueva serie</t>
  </si>
  <si>
    <t>Bienal</t>
  </si>
  <si>
    <t>Ingreso corriente promedio trimestral por hogar</t>
  </si>
  <si>
    <t>INEGI. Encuesta Nacional de Ingreso Gasto en los Hogares ENIGH</t>
  </si>
  <si>
    <t>https://www.inegi.org.mx/programas/enigh/nc/2022/</t>
  </si>
  <si>
    <t>Patentes</t>
  </si>
  <si>
    <t>https://docs.google.com/spreadsheets/d/1z7uu1pFJLASz6zIVSQHAzTb4cC-E9WSK/edit?pli=1#gid=1482074688</t>
  </si>
  <si>
    <t>1T 2024</t>
  </si>
  <si>
    <t>Superficie Sembrada (has)</t>
  </si>
  <si>
    <t>Secretaría de Agricultura y Desarrollo Rural SADER. Servicio Agroalimentario y Pesquero SIAP</t>
  </si>
  <si>
    <t>https://www.gob.mx/siap/acciones-y-programas/produccion-agricola-33119</t>
  </si>
  <si>
    <t>Superficie Cosechada (has)</t>
  </si>
  <si>
    <t>Volumen de la Producción (toneladas)</t>
  </si>
  <si>
    <t>Valor de la Producción</t>
  </si>
  <si>
    <t>Ganado Bovino (Producción toneladas)</t>
  </si>
  <si>
    <t>https://nube.siap.gob.mx/cierre_pecuario/</t>
  </si>
  <si>
    <t>Ganado Bovino (Valor de la Producción miles de pesos)</t>
  </si>
  <si>
    <t>Ganado Porcino (Producción toneladas)</t>
  </si>
  <si>
    <t>Ganado Porcino (Valor de la Producción miles de pesos)</t>
  </si>
  <si>
    <t>Ganado Ovino (Producción toneladas)</t>
  </si>
  <si>
    <t>Ganado Ovino (Valor de la Producción miles de pesos)</t>
  </si>
  <si>
    <t>Ganado Caprino (Producción toneladas)</t>
  </si>
  <si>
    <t>Ganado Caprino (Valor de la Producción miles de pesos)</t>
  </si>
  <si>
    <t>Aves (Producción toneladas)</t>
  </si>
  <si>
    <t>Aves (Valor de la Producción miles de pesos)</t>
  </si>
  <si>
    <t>Guajolotes (Producción toneladas)</t>
  </si>
  <si>
    <t>Guajolotes (Valor de la Producción miles de pesos)</t>
  </si>
  <si>
    <t>Leche de Bovino (miles de litros)</t>
  </si>
  <si>
    <t>Leche de Bovino (Valor de la Producción miles de pesos)</t>
  </si>
  <si>
    <t>Leche de Caprino Producción (miles de litros)</t>
  </si>
  <si>
    <t>Leche de Caprino Valor de la Producción (miles de pesos</t>
  </si>
  <si>
    <t>Huevo para plato (Producción toneladas)</t>
  </si>
  <si>
    <t>Huevo para Plato (Valor de la Producción miles de pesos)</t>
  </si>
  <si>
    <t>Miel (Producción toneladas)</t>
  </si>
  <si>
    <t>Miel (Valor de la Producción miles de pesos)</t>
  </si>
  <si>
    <t>Cera Producción (toneladas)</t>
  </si>
  <si>
    <t>Cera Valor de la Producción (miles de pesos</t>
  </si>
  <si>
    <t>Lana Producción (toneladas)</t>
  </si>
  <si>
    <t>Lana Valor de la Producción (miles de pesos</t>
  </si>
  <si>
    <t>Comisión Nacional de Acuacultura y Pesca CONAPESCA</t>
  </si>
  <si>
    <t>Establecimiento de Hospedaje</t>
  </si>
  <si>
    <t>INEGI. México en cifras. Datos de Integración 2021.</t>
  </si>
  <si>
    <t>Cuartos de establecimientos de Hospedaje</t>
  </si>
  <si>
    <t>28 961</t>
  </si>
  <si>
    <t>Establecimiento de Hospedaje según categoría (1 estrella)</t>
  </si>
  <si>
    <t>https://www.inegi.org.mx/app/areasgeograficas/?ag=07000013#collapse-Tabulados</t>
  </si>
  <si>
    <t>Establecimiento de Hospedaje según categoría (2 estrellas)</t>
  </si>
  <si>
    <t>Establecimiento de Hospedaje según categoría (3 estrellas)</t>
  </si>
  <si>
    <t>Establecimiento de Hospedaje según categoría (4 estrellas)</t>
  </si>
  <si>
    <t>Establecimiento de Hospedaje según categoría (5 estrellas)</t>
  </si>
  <si>
    <t>Cuartos de Hospedaje según categoría (1 estrella)</t>
  </si>
  <si>
    <t>3 806</t>
  </si>
  <si>
    <t>Cuartos de Hospedaje según categoría (2 estrellas)</t>
  </si>
  <si>
    <t>5 223</t>
  </si>
  <si>
    <t>Cuartos de Hospedaje según categoría (3 estrellas)</t>
  </si>
  <si>
    <t>7 519</t>
  </si>
  <si>
    <t>Cuartos de Hospedaje según categoría (4 estrellas)</t>
  </si>
  <si>
    <t>7 658</t>
  </si>
  <si>
    <t>Cuartos de Hospedaje según categoría (5 estrellas)</t>
  </si>
  <si>
    <t>3 503</t>
  </si>
  <si>
    <t>Cuartos de Hospedaje según categoría (sin categoría)</t>
  </si>
  <si>
    <t>1 252</t>
  </si>
  <si>
    <t>Llegada de Turistas Totales a la Entidad</t>
  </si>
  <si>
    <t>Sectur. DataTur</t>
  </si>
  <si>
    <t>Llegada de Turistas a la Entidad por Tipo de Turismo (extranjeros)</t>
  </si>
  <si>
    <t>Llegada de Turistas a la Entidad por Tipo de Turismo (nacionales)</t>
  </si>
  <si>
    <t>Oferta de Alojamiento en la Entidad (cuartos)</t>
  </si>
  <si>
    <t>Longitud de la Red Carretera Federal</t>
  </si>
  <si>
    <t>INEGI. México en Cifras. Tabulados de Integración. 2023. Transporte</t>
  </si>
  <si>
    <t>null</t>
  </si>
  <si>
    <t>Longitud de la Red de Alimentadoras estatales</t>
  </si>
  <si>
    <t>Longitud de la Red de Caminos Rurales</t>
  </si>
  <si>
    <t>Longitud de la Red de Brechas Mejoradas</t>
  </si>
  <si>
    <t xml:space="preserve"> null</t>
  </si>
  <si>
    <t>1er. T 2025</t>
  </si>
  <si>
    <t>Febrero_2025</t>
  </si>
  <si>
    <t>mayo_2025</t>
  </si>
  <si>
    <t>1erT Trimestral</t>
  </si>
  <si>
    <t>https://historico.datos.gob.mx/busca/dataset/produccion-pesquera</t>
  </si>
  <si>
    <t>Producción Pesquera (Peso vivo kilogramos)</t>
  </si>
  <si>
    <t>Producción Pesquera Valor de la Producción (Pesos)</t>
  </si>
  <si>
    <t>5 978</t>
  </si>
  <si>
    <t>México en cifras</t>
  </si>
  <si>
    <t>-1.2</t>
  </si>
  <si>
    <t>-0.40</t>
  </si>
  <si>
    <t>3.20</t>
  </si>
  <si>
    <t>-14.30</t>
  </si>
  <si>
    <t>0.10</t>
  </si>
  <si>
    <t>2.60</t>
  </si>
  <si>
    <t>1.60</t>
  </si>
  <si>
    <t>0.90</t>
  </si>
  <si>
    <t>3.70</t>
  </si>
  <si>
    <t>1.10</t>
  </si>
  <si>
    <t>2.90</t>
  </si>
  <si>
    <t>10.80</t>
  </si>
  <si>
    <t>1.30</t>
  </si>
  <si>
    <t>-1.90</t>
  </si>
  <si>
    <t>-1.80</t>
  </si>
  <si>
    <t>1.00</t>
  </si>
  <si>
    <t>-1.50</t>
  </si>
  <si>
    <t>3.10</t>
  </si>
  <si>
    <t>4.70</t>
  </si>
  <si>
    <t>2.50</t>
  </si>
  <si>
    <t>-0.80</t>
  </si>
  <si>
    <t>-16.90</t>
  </si>
  <si>
    <t>-0.30</t>
  </si>
  <si>
    <t>-3.30</t>
  </si>
  <si>
    <t>-0.20</t>
  </si>
  <si>
    <t>-9.90</t>
  </si>
  <si>
    <t>4.00</t>
  </si>
  <si>
    <t>-1.00</t>
  </si>
  <si>
    <t>1.90</t>
  </si>
  <si>
    <t>5.10</t>
  </si>
  <si>
    <t>0.60</t>
  </si>
  <si>
    <t>40.9</t>
  </si>
  <si>
    <t>37.2</t>
  </si>
  <si>
    <t>37.5</t>
  </si>
  <si>
    <t>60.3</t>
  </si>
  <si>
    <t>33.1</t>
  </si>
  <si>
    <t>47.6</t>
  </si>
  <si>
    <t>76.0</t>
  </si>
  <si>
    <t>33.6</t>
  </si>
  <si>
    <t>44.7</t>
  </si>
  <si>
    <t>50.0</t>
  </si>
  <si>
    <t>54.7</t>
  </si>
  <si>
    <t>76.5</t>
  </si>
  <si>
    <t>71.7</t>
  </si>
  <si>
    <t>46.9</t>
  </si>
  <si>
    <t>54.1</t>
  </si>
  <si>
    <t>67.8</t>
  </si>
  <si>
    <t>66.1</t>
  </si>
  <si>
    <t>58.9</t>
  </si>
  <si>
    <t>32.5</t>
  </si>
  <si>
    <t>76.3</t>
  </si>
  <si>
    <t>72.0</t>
  </si>
  <si>
    <t>40.1</t>
  </si>
  <si>
    <t>42.7</t>
  </si>
  <si>
    <t>55.2</t>
  </si>
  <si>
    <t>46.6</t>
  </si>
  <si>
    <t>40.8</t>
  </si>
  <si>
    <t>66.7</t>
  </si>
  <si>
    <t>45.5</t>
  </si>
  <si>
    <t>70.9</t>
  </si>
  <si>
    <t>70.1</t>
  </si>
  <si>
    <t>57.0</t>
  </si>
  <si>
    <t>57.8</t>
  </si>
  <si>
    <t>54.10</t>
  </si>
  <si>
    <t>0.1</t>
  </si>
  <si>
    <t>1.70</t>
  </si>
  <si>
    <t>0.40</t>
  </si>
  <si>
    <t>0.00</t>
  </si>
  <si>
    <t>0.30</t>
  </si>
  <si>
    <t>1.20</t>
  </si>
  <si>
    <t>0.8</t>
  </si>
  <si>
    <t>0.20</t>
  </si>
  <si>
    <t>0.50</t>
  </si>
  <si>
    <t>5.00</t>
  </si>
  <si>
    <t>7.80</t>
  </si>
  <si>
    <t>0.92</t>
  </si>
  <si>
    <t>4.1</t>
  </si>
  <si>
    <t>2.8</t>
  </si>
  <si>
    <t>5.6</t>
  </si>
  <si>
    <t>7.5</t>
  </si>
  <si>
    <t>3.8</t>
  </si>
  <si>
    <t>5.7</t>
  </si>
  <si>
    <t>3.7</t>
  </si>
  <si>
    <t>5.0</t>
  </si>
  <si>
    <t>3.9</t>
  </si>
  <si>
    <t>3.2</t>
  </si>
  <si>
    <t>5.5</t>
  </si>
  <si>
    <t>4.0</t>
  </si>
  <si>
    <t>2.9</t>
  </si>
  <si>
    <t>4.7</t>
  </si>
  <si>
    <t>3.3</t>
  </si>
  <si>
    <t>6.1</t>
  </si>
  <si>
    <t>4.6</t>
  </si>
  <si>
    <t>3.4</t>
  </si>
  <si>
    <t>2.6</t>
  </si>
  <si>
    <t>4.2</t>
  </si>
  <si>
    <t>7.4</t>
  </si>
  <si>
    <t>3.6</t>
  </si>
  <si>
    <t>5.2</t>
  </si>
  <si>
    <t>nac</t>
  </si>
  <si>
    <t>ext</t>
  </si>
  <si>
    <t>total</t>
  </si>
  <si>
    <t xml:space="preserve">                   </t>
  </si>
  <si>
    <t>https://www.inegi.org.mx/app/saic/default.html</t>
  </si>
  <si>
    <t>Junio_2025</t>
  </si>
  <si>
    <t>Inullicador</t>
  </si>
  <si>
    <t>Tasa de Conulliciones Críticas de Ocupación</t>
  </si>
  <si>
    <t>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ull&amp;ui.name=XSSSTARTTrabajadores*20Asegurados*20al*20IMSS*20por*20Entidad*20FederativaXSSEnull&amp;run.outputFormat=&amp;run.prompt=true</t>
  </si>
  <si>
    <t>Inullicador Mensual de la Actividad Inullustrial por Entidad Federativa (IMAIEF)</t>
  </si>
  <si>
    <t>Inullicador Mensual de la Actividad Inullustrial por Entidad Federativa (IMAIEF). Año base 2018</t>
  </si>
  <si>
    <t>Ínullice de competitividad estatal (ranking)</t>
  </si>
  <si>
    <t>El Ínullice de Competitividad Estatal (ICE) mide la ca_x0002_pacidad de las entidades del país para generar, atraer 
y retener talento e inversión</t>
  </si>
  <si>
    <t>https://imco.org.mx/inullice-de-competitividad-estatal-2024/#tablero</t>
  </si>
  <si>
    <t>https://imco.org.mx/inullice-de-competitividad-estatal-2023/</t>
  </si>
  <si>
    <t>chrome-extension://efaidnbmnnnibpcajpcglclefinullmkaj/https://www.gob.mx/cms/uploads/attachment/file/963441/Informe_Congreso_2024_3T.pdf</t>
  </si>
  <si>
    <t>Inullicador Trimestral de la Actividad Económica Estatal (ITAEE) con un ínullice base 2018=100</t>
  </si>
  <si>
    <t>El Instituto Nacional de Estadística y Geografía (INEGI) presenta los resultados del Inullicador Trimestral de la Actividad Económica Estatal (ITAEE). Este ofrece un panorama sobre la evolución económica de las entidades federativas del país.</t>
  </si>
  <si>
    <t>Ínullice de la Tenullencia Laboral de la Pobreza (ITLP)</t>
  </si>
  <si>
    <t>El Ínullice de la Tenullencia Laboral de la Pobreza (ITLP) es un inullicador que da seguimiento trimestral a la evolución del ingreso laboral y su relación con el costo de la canasta alimentaria, pudienullo estimarse el porcentaje de personas en pobreza laboral.</t>
  </si>
  <si>
    <t>https://www.coneval.org.mx/Medicion/Documents/ITLP_IS/2024/2T2024/Inullicadores_pobreza_laboral_nacional_y_estatal_Sep_2024.pdf</t>
  </si>
  <si>
    <t>Ínullice de la Tenullencia Laboral de la Pobreza (ITLP). CONEVAL</t>
  </si>
  <si>
    <t>Instituto Mexicano de la Propiedad Inullustrial IMPI</t>
  </si>
  <si>
    <t>https://datatur.sectur.gob.mx/SitePages/CompenullioEstadistico.aspx</t>
  </si>
  <si>
    <t>Porcentaje de Ocupación en la Entidad con respecto al Porcentaje de Ocupación Nacional</t>
  </si>
  <si>
    <t>Productividad (pesos prod/hora trab)</t>
  </si>
  <si>
    <t>Porcentaje de la población con ingreso laboral inferior al costo de la canasta alimentaria (pobreza laboral)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</si>
</sst>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##,###,###,###,##0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Montserrat SemiBold"/>
      <family val="3"/>
    </font>
    <font>
      <b/>
      <sz val="11"/>
      <color theme="1"/>
      <name val="Montserrat SemiBold"/>
      <family val="3"/>
    </font>
    <font>
      <sz val="10"/>
      <color theme="1"/>
      <name val="Montserrat"/>
      <family val="3"/>
    </font>
    <font>
      <b/>
      <sz val="10"/>
      <color theme="1"/>
      <name val="Montserrat"/>
      <family val="3"/>
    </font>
    <font>
      <u/>
      <sz val="10"/>
      <color theme="10"/>
      <name val="Montserrat"/>
      <family val="3"/>
    </font>
    <font>
      <sz val="10"/>
      <name val="Montserrat"/>
      <family val="3"/>
    </font>
    <font>
      <b/>
      <sz val="10"/>
      <name val="Montserrat"/>
      <family val="3"/>
    </font>
    <font>
      <sz val="10"/>
      <name val="Arial"/>
      <family val="2"/>
    </font>
    <font>
      <sz val="10"/>
      <color theme="4" tint="-0.49995422223578601"/>
      <name val="Montserrat"/>
      <family val="3"/>
    </font>
    <font>
      <b/>
      <sz val="10"/>
      <color theme="4" tint="-0.49995422223578601"/>
      <name val="Montserrat"/>
      <family val="3"/>
    </font>
    <font>
      <b/>
      <sz val="10"/>
      <color rgb="FF000000"/>
      <name val="Montserrat"/>
      <family val="3"/>
    </font>
    <font>
      <b/>
      <sz val="10"/>
      <color theme="1"/>
      <name val="Montserrat"/>
    </font>
    <font>
      <b/>
      <sz val="12"/>
      <color rgb="FF333333"/>
      <name val="Segoe U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Montserrat"/>
    </font>
    <font>
      <sz val="10"/>
      <name val="Montserrat"/>
      <family val="2"/>
    </font>
    <font>
      <b/>
      <sz val="10"/>
      <name val="Montserrat"/>
      <family val="2"/>
    </font>
  </fonts>
  <fills count="11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4C19C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-0.49995422223578601"/>
      </right>
      <top style="thin">
        <color theme="4" tint="-0.49995422223578601"/>
      </top>
      <bottom style="thin">
        <color theme="4" tint="-0.499954222235786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4" tint="-0.49995422223578601"/>
      </right>
      <top style="thin">
        <color theme="4" tint="-0.499954222235786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6" fillId="0" borderId="0"/>
    <xf numFmtId="0" fontId="17" fillId="0" borderId="0" applyNumberFormat="0" applyFill="0" applyBorder="0" applyAlignment="0" applyProtection="0"/>
  </cellStyleXfs>
  <cellXfs count="8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2" fillId="5" borderId="1" xfId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4" fontId="6" fillId="5" borderId="2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center"/>
    </xf>
    <xf numFmtId="0" fontId="2" fillId="0" borderId="0" xfId="1" applyAlignment="1">
      <alignment horizontal="left"/>
    </xf>
    <xf numFmtId="17" fontId="5" fillId="6" borderId="0" xfId="0" applyNumberFormat="1" applyFont="1" applyFill="1" applyAlignment="1">
      <alignment horizontal="center"/>
    </xf>
    <xf numFmtId="0" fontId="6" fillId="5" borderId="4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6" borderId="5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0" borderId="0" xfId="1"/>
    <xf numFmtId="17" fontId="5" fillId="6" borderId="3" xfId="0" applyNumberFormat="1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left"/>
    </xf>
    <xf numFmtId="164" fontId="8" fillId="5" borderId="1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4" fontId="9" fillId="5" borderId="2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10" fillId="0" borderId="0" xfId="0" applyFont="1"/>
    <xf numFmtId="0" fontId="0" fillId="9" borderId="0" xfId="0" applyFill="1" applyAlignment="1">
      <alignment horizontal="left"/>
    </xf>
    <xf numFmtId="0" fontId="5" fillId="5" borderId="3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4" fontId="0" fillId="3" borderId="0" xfId="0" applyNumberForma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5" fillId="5" borderId="1" xfId="0" applyNumberFormat="1" applyFont="1" applyFill="1" applyBorder="1" applyAlignment="1">
      <alignment horizontal="center" wrapText="1"/>
    </xf>
    <xf numFmtId="3" fontId="14" fillId="5" borderId="1" xfId="0" applyNumberFormat="1" applyFont="1" applyFill="1" applyBorder="1" applyAlignment="1">
      <alignment horizontal="center" wrapText="1"/>
    </xf>
    <xf numFmtId="3" fontId="0" fillId="0" borderId="0" xfId="0" applyNumberFormat="1"/>
    <xf numFmtId="49" fontId="5" fillId="5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horizontal="center"/>
    </xf>
    <xf numFmtId="49" fontId="8" fillId="5" borderId="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/>
    </xf>
    <xf numFmtId="49" fontId="6" fillId="8" borderId="6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49" fontId="11" fillId="5" borderId="1" xfId="3" applyNumberFormat="1" applyFont="1" applyFill="1" applyBorder="1" applyAlignment="1">
      <alignment horizontal="center" vertical="center" wrapText="1"/>
    </xf>
    <xf numFmtId="49" fontId="12" fillId="5" borderId="1" xfId="3" applyNumberFormat="1" applyFont="1" applyFill="1" applyBorder="1" applyAlignment="1">
      <alignment horizontal="center" vertical="center" wrapText="1"/>
    </xf>
    <xf numFmtId="49" fontId="12" fillId="5" borderId="7" xfId="3" applyNumberFormat="1" applyFont="1" applyFill="1" applyBorder="1" applyAlignment="1">
      <alignment horizontal="center" vertical="center" wrapText="1"/>
    </xf>
    <xf numFmtId="49" fontId="11" fillId="5" borderId="8" xfId="3" applyNumberFormat="1" applyFont="1" applyFill="1" applyBorder="1" applyAlignment="1">
      <alignment horizontal="center" vertical="center" wrapText="1"/>
    </xf>
    <xf numFmtId="49" fontId="12" fillId="5" borderId="8" xfId="3" applyNumberFormat="1" applyFont="1" applyFill="1" applyBorder="1" applyAlignment="1">
      <alignment horizontal="center" vertical="center" wrapText="1"/>
    </xf>
    <xf numFmtId="49" fontId="12" fillId="5" borderId="9" xfId="3" applyNumberFormat="1" applyFont="1" applyFill="1" applyBorder="1" applyAlignment="1">
      <alignment horizontal="center" vertical="center" wrapText="1"/>
    </xf>
    <xf numFmtId="49" fontId="5" fillId="10" borderId="10" xfId="0" applyNumberFormat="1" applyFont="1" applyFill="1" applyBorder="1" applyAlignment="1">
      <alignment horizontal="center"/>
    </xf>
    <xf numFmtId="49" fontId="6" fillId="10" borderId="10" xfId="0" applyNumberFormat="1" applyFont="1" applyFill="1" applyBorder="1" applyAlignment="1">
      <alignment horizontal="center"/>
    </xf>
    <xf numFmtId="49" fontId="13" fillId="5" borderId="10" xfId="0" applyNumberFormat="1" applyFont="1" applyFill="1" applyBorder="1" applyAlignment="1">
      <alignment horizontal="center"/>
    </xf>
    <xf numFmtId="49" fontId="14" fillId="5" borderId="1" xfId="0" applyNumberFormat="1" applyFont="1" applyFill="1" applyBorder="1" applyAlignment="1">
      <alignment horizontal="center"/>
    </xf>
    <xf numFmtId="49" fontId="15" fillId="0" borderId="0" xfId="0" applyNumberFormat="1" applyFont="1"/>
    <xf numFmtId="49" fontId="8" fillId="5" borderId="1" xfId="4" applyNumberFormat="1" applyFont="1" applyFill="1" applyBorder="1" applyAlignment="1">
      <alignment horizontal="center" vertical="center"/>
    </xf>
    <xf numFmtId="49" fontId="9" fillId="5" borderId="1" xfId="4" applyNumberFormat="1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49" fontId="19" fillId="0" borderId="2" xfId="0" applyNumberFormat="1" applyFont="1" applyFill="1" applyBorder="1" applyAlignment="1">
      <alignment horizontal="center" vertical="center"/>
    </xf>
    <xf numFmtId="49" fontId="8" fillId="5" borderId="1" xfId="2" applyNumberFormat="1" applyFont="1" applyFill="1" applyBorder="1" applyAlignment="1">
      <alignment horizontal="center"/>
    </xf>
    <xf numFmtId="49" fontId="18" fillId="5" borderId="1" xfId="2" applyNumberFormat="1" applyFont="1" applyFill="1" applyBorder="1" applyAlignment="1">
      <alignment horizontal="center"/>
    </xf>
    <xf numFmtId="49" fontId="9" fillId="5" borderId="1" xfId="2" applyNumberFormat="1" applyFont="1" applyFill="1" applyBorder="1" applyAlignment="1">
      <alignment horizontal="center"/>
    </xf>
    <xf numFmtId="4" fontId="0" fillId="0" borderId="0" xfId="0" applyNumberFormat="1"/>
    <xf numFmtId="0" fontId="2" fillId="0" borderId="0" xfId="1" applyBorder="1" applyAlignment="1">
      <alignment horizontal="left"/>
    </xf>
  </cellXfs>
  <cellStyles count="7">
    <cellStyle name="Hipervínculo" xfId="1" builtinId="8"/>
    <cellStyle name="Hipervínculo 2" xfId="6" xr:uid="{933D0838-7F98-4A41-9BDD-4F9FA509BA7C}"/>
    <cellStyle name="Moneda 2 5" xfId="3" xr:uid="{60F3E3A8-F861-4A12-9F1C-DD78D45F2959}"/>
    <cellStyle name="Normal" xfId="0" builtinId="0"/>
    <cellStyle name="Normal 10" xfId="2" xr:uid="{0AADB394-25CB-4D12-90CF-3DFC9DE4C696}"/>
    <cellStyle name="Normal 2" xfId="5" xr:uid="{A0A282D1-4112-42AB-8C3E-EB6E724B130C}"/>
    <cellStyle name="Normal 2 2" xfId="4" xr:uid="{D7BBEBA0-7D80-4675-9E83-7A374AAE6E1A}"/>
  </cellStyles>
  <dxfs count="57">
    <dxf>
      <font>
        <sz val="12"/>
        <color theme="1"/>
        <name val="Calibri"/>
      </font>
      <fill>
        <patternFill patternType="solid">
          <bgColor rgb="FF00B783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E8D92E"/>
        </patternFill>
      </fill>
    </dxf>
    <dxf>
      <font>
        <sz val="12"/>
        <color theme="1"/>
        <name val="Calibri"/>
      </font>
      <fill>
        <patternFill patternType="solid">
          <bgColor rgb="FFFFBD41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2"/>
        <color theme="1"/>
        <name val="Calibri"/>
      </font>
      <fill>
        <patternFill patternType="solid">
          <bgColor rgb="FF00B783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E8D92E"/>
        </patternFill>
      </fill>
    </dxf>
    <dxf>
      <font>
        <sz val="12"/>
        <color theme="1"/>
        <name val="Calibri"/>
      </font>
      <fill>
        <patternFill patternType="solid">
          <bgColor rgb="FFFFBD41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00B783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E8D92E"/>
        </patternFill>
      </fill>
    </dxf>
    <dxf>
      <font>
        <sz val="12"/>
        <color theme="1"/>
        <name val="Calibri"/>
      </font>
      <fill>
        <patternFill patternType="solid">
          <bgColor rgb="FFFFBD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647700</xdr:colOff>
      <xdr:row>1</xdr:row>
      <xdr:rowOff>57150</xdr:rowOff>
    </xdr:from>
    <xdr:to>
      <xdr:col>15</xdr:col>
      <xdr:colOff>648444</xdr:colOff>
      <xdr:row>29</xdr:row>
      <xdr:rowOff>191412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BF6FB7-91CF-4C3C-9B40-FF1B497F0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57150"/>
          <a:ext cx="5334744" cy="653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ube.siap.gob.mx/cierre_pecuario/" TargetMode="External"/><Relationship Id="rId13" Type="http://schemas.openxmlformats.org/officeDocument/2006/relationships/hyperlink" Target="https://mexicocomovamos.mx/semaforos-estatales/" TargetMode="External"/><Relationship Id="rId18" Type="http://schemas.openxmlformats.org/officeDocument/2006/relationships/hyperlink" Target="https://imco.org.mx/indice-de-competitividad-estatal-2024/" TargetMode="External"/><Relationship Id="rId26" Type="http://schemas.openxmlformats.org/officeDocument/2006/relationships/hyperlink" Target="https://www.inegi.org.mx/app/areasgeograficas/?ag=0700" TargetMode="External"/><Relationship Id="rId3" Type="http://schemas.openxmlformats.org/officeDocument/2006/relationships/hyperlink" Target="https://www.coneval.org.mx/Medicion/Paginas/ITLP-IS_pobreza_laboral.aspx" TargetMode="External"/><Relationship Id="rId21" Type="http://schemas.openxmlformats.org/officeDocument/2006/relationships/hyperlink" Target="https://www.coneval.org.mx/Medicion/Documents/ITLP_IS/2024/2T2024/Indicadores_pobreza_laboral_nacional_y_estatal_Sep_2024.pdf" TargetMode="External"/><Relationship Id="rId7" Type="http://schemas.openxmlformats.org/officeDocument/2006/relationships/hyperlink" Target="https://nube.siap.gob.mx/cierre_pecuario/" TargetMode="External"/><Relationship Id="rId12" Type="http://schemas.openxmlformats.org/officeDocument/2006/relationships/hyperlink" Target="https://mexicocomovamos.mx/semaforos-estatales/" TargetMode="External"/><Relationship Id="rId17" Type="http://schemas.openxmlformats.org/officeDocument/2006/relationships/hyperlink" Target="https://mexicocomovamos.mx/semaforos-estatales/" TargetMode="External"/><Relationship Id="rId25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" Type="http://schemas.openxmlformats.org/officeDocument/2006/relationships/hyperlink" Target="https://www.inegi.org.mx/programas/enigh/nc/2022/" TargetMode="External"/><Relationship Id="rId16" Type="http://schemas.openxmlformats.org/officeDocument/2006/relationships/hyperlink" Target="https://mexicocomovamos.mx/semaforos-estatales/" TargetMode="External"/><Relationship Id="rId20" Type="http://schemas.openxmlformats.org/officeDocument/2006/relationships/hyperlink" Target="https://www.banxico.org.mx/SieInternet/consultarDirectorioInternetAction.do?accion=consultarCuadro&amp;idCuadro=CE100" TargetMode="External"/><Relationship Id="rId29" Type="http://schemas.openxmlformats.org/officeDocument/2006/relationships/hyperlink" Target="https://www.inegi.org.mx/app/areasgeograficas/?ag=0700" TargetMode="External"/><Relationship Id="rId1" Type="http://schemas.openxmlformats.org/officeDocument/2006/relationships/hyperlink" Target="https://www.inegi.org.mx/programas/enoe/15ymas/" TargetMode="External"/><Relationship Id="rId6" Type="http://schemas.openxmlformats.org/officeDocument/2006/relationships/hyperlink" Target="https://www.coneval.org.mx/Medicion/Documents/ITLP_IS/2024/2T2024/Ingreso_laboral_per_capita_por_entidad_federativa_Sep_2024.pdf" TargetMode="External"/><Relationship Id="rId11" Type="http://schemas.openxmlformats.org/officeDocument/2006/relationships/hyperlink" Target="https://docs.google.com/spreadsheets/d/1z7uu1pFJLASz6zIVSQHAzTb4cC-E9WSK/edit?pli=1" TargetMode="External"/><Relationship Id="rId24" Type="http://schemas.openxmlformats.org/officeDocument/2006/relationships/hyperlink" Target="https://www.inegi.org.mx/app/saladeprensa/noticia/9627" TargetMode="External"/><Relationship Id="rId5" Type="http://schemas.openxmlformats.org/officeDocument/2006/relationships/hyperlink" Target="https://www.inegi.org.mx/app/tabulados/default.aspx?pr=18&amp;vr=1&amp;in=2&amp;tp=20&amp;wr=1&amp;cno=1&amp;idrt=3260&amp;opc=p" TargetMode="External"/><Relationship Id="rId15" Type="http://schemas.openxmlformats.org/officeDocument/2006/relationships/hyperlink" Target="https://mexicocomovamos.mx/semaforos-estatales/" TargetMode="External"/><Relationship Id="rId23" Type="http://schemas.openxmlformats.org/officeDocument/2006/relationships/hyperlink" Target="https://www.inegi.org.mx/programas/aief/2018/" TargetMode="External"/><Relationship Id="rId28" Type="http://schemas.openxmlformats.org/officeDocument/2006/relationships/hyperlink" Target="https://www.inegi.org.mx/app/areasgeograficas/?ag=0700" TargetMode="External"/><Relationship Id="rId10" Type="http://schemas.openxmlformats.org/officeDocument/2006/relationships/hyperlink" Target="https://www.gob.mx/siap/acciones-y-programas/produccion-agricola-33119" TargetMode="External"/><Relationship Id="rId19" Type="http://schemas.openxmlformats.org/officeDocument/2006/relationships/hyperlink" Target="https://www.inegi.org.mx/temas/exportacionesef/" TargetMode="External"/><Relationship Id="rId4" Type="http://schemas.openxmlformats.org/officeDocument/2006/relationships/hyperlink" Target="https://www.coneval.org.mx/Medicion/Paginas/ITLP-IS_pobreza_laboral.aspx" TargetMode="External"/><Relationship Id="rId9" Type="http://schemas.openxmlformats.org/officeDocument/2006/relationships/hyperlink" Target="https://www.inegi.org.mx/app/areasgeograficas/?ag=07000013" TargetMode="External"/><Relationship Id="rId14" Type="http://schemas.openxmlformats.org/officeDocument/2006/relationships/hyperlink" Target="https://mexicocomovamos.mx/semaforos-estatales/" TargetMode="External"/><Relationship Id="rId22" Type="http://schemas.openxmlformats.org/officeDocument/2006/relationships/hyperlink" Target="https://www.inegi.org.mx/programas/ce/2019/" TargetMode="External"/><Relationship Id="rId27" Type="http://schemas.openxmlformats.org/officeDocument/2006/relationships/hyperlink" Target="https://www.inegi.org.mx/app/areasgeograficas/?ag=0700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C873-EB76-464C-86A5-BECCFA18969F}">
  <dimension ref="A1:BT92"/>
  <sheetViews>
    <sheetView tabSelected="1" topLeftCell="B13" workbookViewId="0">
      <selection activeCell="D21" sqref="D21"/>
    </sheetView>
  </sheetViews>
  <sheetFormatPr baseColWidth="10" defaultRowHeight="15" x14ac:dyDescent="0.25"/>
  <cols>
    <col min="1" max="1" width="55.85546875" style="4" customWidth="1"/>
    <col min="2" max="2" width="26" style="4" customWidth="1"/>
    <col min="3" max="3" width="58.42578125" style="4" customWidth="1"/>
    <col min="4" max="4" width="40.42578125" style="4" customWidth="1"/>
    <col min="5" max="5" width="22" style="4" customWidth="1"/>
    <col min="6" max="6" width="14" style="4" customWidth="1"/>
    <col min="7" max="7" width="16.42578125" style="4" customWidth="1"/>
    <col min="8" max="8" width="17.7109375" style="4" customWidth="1"/>
    <col min="9" max="9" width="19.140625" style="4" customWidth="1"/>
    <col min="10" max="10" width="16.7109375" style="4" customWidth="1"/>
    <col min="11" max="11" width="14" style="4" customWidth="1"/>
    <col min="12" max="12" width="17.42578125" style="4" customWidth="1"/>
    <col min="13" max="13" width="15" style="4" customWidth="1"/>
    <col min="14" max="14" width="14.7109375" style="4" customWidth="1"/>
    <col min="15" max="15" width="19" style="4" customWidth="1"/>
    <col min="16" max="16" width="14.85546875" style="4" customWidth="1"/>
    <col min="17" max="17" width="13.42578125" style="4" customWidth="1"/>
    <col min="18" max="18" width="14.85546875" style="4" customWidth="1"/>
    <col min="19" max="19" width="17.140625" style="43" customWidth="1"/>
    <col min="20" max="20" width="15.5703125" style="4" customWidth="1"/>
    <col min="21" max="21" width="19.7109375" style="4" customWidth="1"/>
    <col min="22" max="22" width="16.42578125" style="4" customWidth="1"/>
    <col min="23" max="23" width="19.140625" style="4" customWidth="1"/>
    <col min="24" max="24" width="19" style="4" customWidth="1"/>
    <col min="25" max="25" width="13.7109375" style="4" customWidth="1"/>
    <col min="26" max="26" width="19" style="4" customWidth="1"/>
    <col min="27" max="27" width="20" style="4" customWidth="1"/>
    <col min="28" max="28" width="15" style="4" customWidth="1"/>
    <col min="29" max="29" width="15.140625" style="4" customWidth="1"/>
    <col min="30" max="30" width="16.140625" style="4" customWidth="1"/>
    <col min="31" max="31" width="20" style="4" customWidth="1"/>
    <col min="32" max="32" width="18.7109375" style="4" customWidth="1"/>
    <col min="33" max="33" width="18.28515625" style="4" customWidth="1"/>
    <col min="34" max="34" width="16" style="4" customWidth="1"/>
    <col min="35" max="35" width="15.85546875" style="4" customWidth="1"/>
    <col min="36" max="36" width="20.7109375" style="4" customWidth="1"/>
    <col min="37" max="37" width="18.28515625" style="4" customWidth="1"/>
    <col min="38" max="38" width="14.42578125" style="4" customWidth="1"/>
    <col min="39" max="39" width="19.7109375" style="43" customWidth="1"/>
    <col min="40" max="16384" width="11.42578125" style="4"/>
  </cols>
  <sheetData>
    <row r="1" spans="1:72" ht="41.25" customHeight="1" x14ac:dyDescent="0.25">
      <c r="A1" s="1" t="s">
        <v>291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2" t="s">
        <v>37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5.75" x14ac:dyDescent="0.3">
      <c r="A2" s="5" t="s">
        <v>38</v>
      </c>
      <c r="B2" s="6"/>
      <c r="C2" s="6" t="s">
        <v>39</v>
      </c>
      <c r="D2" s="7" t="s">
        <v>40</v>
      </c>
      <c r="E2" s="8" t="s">
        <v>41</v>
      </c>
      <c r="F2" s="8" t="s">
        <v>177</v>
      </c>
      <c r="G2" s="47">
        <v>683487</v>
      </c>
      <c r="H2" s="9">
        <v>1800869</v>
      </c>
      <c r="I2" s="9">
        <v>463281</v>
      </c>
      <c r="J2" s="9">
        <v>449083</v>
      </c>
      <c r="K2" s="9">
        <v>1572146</v>
      </c>
      <c r="L2" s="9">
        <v>372980</v>
      </c>
      <c r="M2" s="9">
        <v>2309506</v>
      </c>
      <c r="N2" s="9">
        <v>1817473</v>
      </c>
      <c r="O2" s="9">
        <v>5066685</v>
      </c>
      <c r="P2" s="9">
        <v>873367</v>
      </c>
      <c r="Q2" s="9">
        <v>2859767</v>
      </c>
      <c r="R2" s="9">
        <v>1533997</v>
      </c>
      <c r="S2" s="9">
        <v>1522196</v>
      </c>
      <c r="T2" s="9">
        <v>3992241</v>
      </c>
      <c r="U2" s="9">
        <v>8230321</v>
      </c>
      <c r="V2" s="9">
        <v>2257524</v>
      </c>
      <c r="W2" s="9">
        <v>888797</v>
      </c>
      <c r="X2" s="9">
        <v>644192</v>
      </c>
      <c r="Y2" s="9">
        <v>2926208</v>
      </c>
      <c r="Z2" s="9">
        <v>1829474</v>
      </c>
      <c r="AA2" s="9">
        <v>3092122</v>
      </c>
      <c r="AB2" s="9">
        <v>1216822</v>
      </c>
      <c r="AC2" s="9">
        <v>995271</v>
      </c>
      <c r="AD2" s="9">
        <v>1285696</v>
      </c>
      <c r="AE2" s="9">
        <v>1481009</v>
      </c>
      <c r="AF2" s="9">
        <v>1425411</v>
      </c>
      <c r="AG2" s="9">
        <v>1121839</v>
      </c>
      <c r="AH2" s="9">
        <v>1690458</v>
      </c>
      <c r="AI2" s="9">
        <v>692989</v>
      </c>
      <c r="AJ2" s="9">
        <v>3486109</v>
      </c>
      <c r="AK2" s="9">
        <v>1239857</v>
      </c>
      <c r="AL2" s="9">
        <v>670058</v>
      </c>
      <c r="AM2" s="11">
        <v>60491235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ht="15.75" x14ac:dyDescent="0.3">
      <c r="A3" s="5" t="s">
        <v>43</v>
      </c>
      <c r="B3" s="6"/>
      <c r="C3" s="6" t="s">
        <v>39</v>
      </c>
      <c r="D3" s="10" t="s">
        <v>40</v>
      </c>
      <c r="E3" s="8" t="s">
        <v>41</v>
      </c>
      <c r="F3" s="8" t="s">
        <v>177</v>
      </c>
      <c r="G3" s="47">
        <v>668839</v>
      </c>
      <c r="H3" s="9">
        <v>1761894</v>
      </c>
      <c r="I3" s="9">
        <v>450178</v>
      </c>
      <c r="J3" s="9">
        <v>439803</v>
      </c>
      <c r="K3" s="9">
        <v>1516383</v>
      </c>
      <c r="L3" s="9">
        <v>363903</v>
      </c>
      <c r="M3" s="9">
        <v>2252361</v>
      </c>
      <c r="N3" s="9">
        <v>1780300</v>
      </c>
      <c r="O3" s="9">
        <v>4892875</v>
      </c>
      <c r="P3" s="9">
        <v>843260</v>
      </c>
      <c r="Q3" s="9">
        <v>2787056</v>
      </c>
      <c r="R3" s="9">
        <v>1520453</v>
      </c>
      <c r="S3" s="9">
        <v>1492541</v>
      </c>
      <c r="T3" s="9">
        <v>3924755</v>
      </c>
      <c r="U3" s="9">
        <v>8005145</v>
      </c>
      <c r="V3" s="9">
        <v>2231080</v>
      </c>
      <c r="W3" s="9">
        <v>879461</v>
      </c>
      <c r="X3" s="9">
        <v>628516</v>
      </c>
      <c r="Y3" s="9">
        <v>2845606</v>
      </c>
      <c r="Z3" s="9">
        <v>1799614</v>
      </c>
      <c r="AA3" s="9">
        <v>3014438</v>
      </c>
      <c r="AB3" s="9">
        <v>1192757</v>
      </c>
      <c r="AC3" s="9">
        <v>971564</v>
      </c>
      <c r="AD3" s="9">
        <v>1244751</v>
      </c>
      <c r="AE3" s="9">
        <v>1440348</v>
      </c>
      <c r="AF3" s="9">
        <v>1388847</v>
      </c>
      <c r="AG3" s="9">
        <v>1066427</v>
      </c>
      <c r="AH3" s="9">
        <v>1633145</v>
      </c>
      <c r="AI3" s="9">
        <v>675389</v>
      </c>
      <c r="AJ3" s="9">
        <v>3417651</v>
      </c>
      <c r="AK3" s="9">
        <v>1220915</v>
      </c>
      <c r="AL3" s="9">
        <v>650754</v>
      </c>
      <c r="AM3" s="11">
        <v>59001009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ht="15.75" x14ac:dyDescent="0.3">
      <c r="A4" s="5" t="s">
        <v>44</v>
      </c>
      <c r="B4" s="6"/>
      <c r="C4" s="6" t="s">
        <v>39</v>
      </c>
      <c r="D4" s="10" t="s">
        <v>40</v>
      </c>
      <c r="E4" s="8" t="s">
        <v>41</v>
      </c>
      <c r="F4" s="8" t="s">
        <v>177</v>
      </c>
      <c r="G4" s="47">
        <v>14648</v>
      </c>
      <c r="H4" s="9">
        <v>38975</v>
      </c>
      <c r="I4" s="9">
        <v>13103</v>
      </c>
      <c r="J4" s="9">
        <v>9280</v>
      </c>
      <c r="K4" s="9">
        <v>55763</v>
      </c>
      <c r="L4" s="9">
        <v>9077</v>
      </c>
      <c r="M4" s="9">
        <v>57145</v>
      </c>
      <c r="N4" s="9">
        <v>37173</v>
      </c>
      <c r="O4" s="9">
        <v>173810</v>
      </c>
      <c r="P4" s="9">
        <v>30107</v>
      </c>
      <c r="Q4" s="9">
        <v>72711</v>
      </c>
      <c r="R4" s="9">
        <v>13544</v>
      </c>
      <c r="S4" s="9">
        <v>29655</v>
      </c>
      <c r="T4" s="9">
        <v>67486</v>
      </c>
      <c r="U4" s="9">
        <v>225176</v>
      </c>
      <c r="V4" s="9">
        <v>26444</v>
      </c>
      <c r="W4" s="9">
        <v>9336</v>
      </c>
      <c r="X4" s="9">
        <v>15676</v>
      </c>
      <c r="Y4" s="9">
        <v>80602</v>
      </c>
      <c r="Z4" s="9">
        <v>29860</v>
      </c>
      <c r="AA4" s="9">
        <v>77684</v>
      </c>
      <c r="AB4" s="9">
        <v>24065</v>
      </c>
      <c r="AC4" s="9">
        <v>23707</v>
      </c>
      <c r="AD4" s="9">
        <v>40945</v>
      </c>
      <c r="AE4" s="9">
        <v>40661</v>
      </c>
      <c r="AF4" s="9">
        <v>36564</v>
      </c>
      <c r="AG4" s="9">
        <v>55412</v>
      </c>
      <c r="AH4" s="9">
        <v>57313</v>
      </c>
      <c r="AI4" s="9">
        <v>17600</v>
      </c>
      <c r="AJ4" s="9">
        <v>68458</v>
      </c>
      <c r="AK4" s="9">
        <v>18942</v>
      </c>
      <c r="AL4" s="9">
        <v>19304</v>
      </c>
      <c r="AM4" s="11">
        <v>1490226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ht="15.75" x14ac:dyDescent="0.3">
      <c r="A5" s="5" t="s">
        <v>45</v>
      </c>
      <c r="B5" s="6"/>
      <c r="C5" s="6" t="s">
        <v>39</v>
      </c>
      <c r="D5" s="10" t="s">
        <v>40</v>
      </c>
      <c r="E5" s="8" t="s">
        <v>41</v>
      </c>
      <c r="F5" s="8" t="s">
        <v>177</v>
      </c>
      <c r="G5" s="47">
        <v>58.8934</v>
      </c>
      <c r="H5" s="9">
        <v>60.000900000000001</v>
      </c>
      <c r="I5" s="9">
        <v>67.980199999999996</v>
      </c>
      <c r="J5" s="9">
        <v>61.576300000000003</v>
      </c>
      <c r="K5" s="9">
        <v>59.366500000000002</v>
      </c>
      <c r="L5" s="9">
        <v>65.999899999999997</v>
      </c>
      <c r="M5" s="9">
        <v>54.683799999999998</v>
      </c>
      <c r="N5" s="9">
        <v>59.588900000000002</v>
      </c>
      <c r="O5" s="9">
        <v>63.2136</v>
      </c>
      <c r="P5" s="9">
        <v>59.849400000000003</v>
      </c>
      <c r="Q5" s="9">
        <v>58.333100000000002</v>
      </c>
      <c r="R5" s="9">
        <v>58.362499999999997</v>
      </c>
      <c r="S5" s="9">
        <v>60.4465</v>
      </c>
      <c r="T5" s="9">
        <v>58.175899999999999</v>
      </c>
      <c r="U5" s="9">
        <v>57.533299999999997</v>
      </c>
      <c r="V5" s="9">
        <v>60.505800000000001</v>
      </c>
      <c r="W5" s="9">
        <v>56.034199999999998</v>
      </c>
      <c r="X5" s="9">
        <v>66.532399999999996</v>
      </c>
      <c r="Y5" s="9">
        <v>60.066600000000001</v>
      </c>
      <c r="Z5" s="9">
        <v>56.8506</v>
      </c>
      <c r="AA5" s="9">
        <v>61.087699999999998</v>
      </c>
      <c r="AB5" s="9">
        <v>61.196899999999999</v>
      </c>
      <c r="AC5" s="9">
        <v>66.037800000000004</v>
      </c>
      <c r="AD5" s="9">
        <v>58.003700000000002</v>
      </c>
      <c r="AE5" s="9">
        <v>59.503999999999998</v>
      </c>
      <c r="AF5" s="9">
        <v>60.078000000000003</v>
      </c>
      <c r="AG5" s="9">
        <v>57.214300000000001</v>
      </c>
      <c r="AH5" s="9">
        <v>59.629600000000003</v>
      </c>
      <c r="AI5" s="9">
        <v>60.166499999999999</v>
      </c>
      <c r="AJ5" s="9">
        <v>54.436999999999998</v>
      </c>
      <c r="AK5" s="9">
        <v>65.593000000000004</v>
      </c>
      <c r="AL5" s="9">
        <v>53.317399999999999</v>
      </c>
      <c r="AM5" s="11">
        <v>59.154499999999999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ht="15.75" x14ac:dyDescent="0.3">
      <c r="A6" s="5" t="s">
        <v>46</v>
      </c>
      <c r="B6" s="6"/>
      <c r="C6" s="6" t="s">
        <v>39</v>
      </c>
      <c r="D6" s="10" t="s">
        <v>40</v>
      </c>
      <c r="E6" s="8" t="s">
        <v>41</v>
      </c>
      <c r="F6" s="8" t="s">
        <v>177</v>
      </c>
      <c r="G6" s="47">
        <v>2.1431</v>
      </c>
      <c r="H6" s="9">
        <v>2.1642000000000001</v>
      </c>
      <c r="I6" s="9">
        <v>2.8283</v>
      </c>
      <c r="J6" s="9">
        <v>2.0663999999999998</v>
      </c>
      <c r="K6" s="9">
        <v>3.5468999999999999</v>
      </c>
      <c r="L6" s="9">
        <v>2.4336000000000002</v>
      </c>
      <c r="M6" s="9">
        <v>2.4742999999999999</v>
      </c>
      <c r="N6" s="9">
        <v>2.0453000000000001</v>
      </c>
      <c r="O6" s="9">
        <v>3.4304000000000001</v>
      </c>
      <c r="P6" s="9">
        <v>3.4472</v>
      </c>
      <c r="Q6" s="9">
        <v>2.5425</v>
      </c>
      <c r="R6" s="9">
        <v>0.88290000000000002</v>
      </c>
      <c r="S6" s="9">
        <v>1.9481999999999999</v>
      </c>
      <c r="T6" s="9">
        <v>1.6903999999999999</v>
      </c>
      <c r="U6" s="9">
        <v>2.7359</v>
      </c>
      <c r="V6" s="9">
        <v>1.1714</v>
      </c>
      <c r="W6" s="9">
        <v>1.0504</v>
      </c>
      <c r="X6" s="9">
        <v>2.4333999999999998</v>
      </c>
      <c r="Y6" s="9">
        <v>2.7545000000000002</v>
      </c>
      <c r="Z6" s="9">
        <v>1.6322000000000001</v>
      </c>
      <c r="AA6" s="9">
        <v>2.5123000000000002</v>
      </c>
      <c r="AB6" s="9">
        <v>1.9777</v>
      </c>
      <c r="AC6" s="9">
        <v>2.3820000000000001</v>
      </c>
      <c r="AD6" s="9">
        <v>3.1846999999999999</v>
      </c>
      <c r="AE6" s="9">
        <v>2.746</v>
      </c>
      <c r="AF6" s="9">
        <v>2.5649999999999999</v>
      </c>
      <c r="AG6" s="9">
        <v>4.9394</v>
      </c>
      <c r="AH6" s="9">
        <v>3.3904000000000001</v>
      </c>
      <c r="AI6" s="9">
        <v>2.5396999999999998</v>
      </c>
      <c r="AJ6" s="9">
        <v>1.964</v>
      </c>
      <c r="AK6" s="9">
        <v>1.528</v>
      </c>
      <c r="AL6" s="9">
        <v>2.8809</v>
      </c>
      <c r="AM6" s="11">
        <v>2.4634999999999998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ht="15.75" x14ac:dyDescent="0.3">
      <c r="A7" s="5" t="s">
        <v>47</v>
      </c>
      <c r="B7" s="6"/>
      <c r="C7" s="6" t="s">
        <v>39</v>
      </c>
      <c r="D7" s="10" t="s">
        <v>40</v>
      </c>
      <c r="E7" s="8" t="s">
        <v>41</v>
      </c>
      <c r="F7" s="8" t="s">
        <v>177</v>
      </c>
      <c r="G7" s="47">
        <v>5.8198999999999996</v>
      </c>
      <c r="H7" s="9">
        <v>5.5681000000000003</v>
      </c>
      <c r="I7" s="9">
        <v>10.016</v>
      </c>
      <c r="J7" s="9">
        <v>11.513</v>
      </c>
      <c r="K7" s="9">
        <v>9.3584999999999994</v>
      </c>
      <c r="L7" s="9">
        <v>9.0806000000000004</v>
      </c>
      <c r="M7" s="9">
        <v>6.8540000000000001</v>
      </c>
      <c r="N7" s="9">
        <v>6.2857000000000003</v>
      </c>
      <c r="O7" s="9">
        <v>9.6053999999999995</v>
      </c>
      <c r="P7" s="9">
        <v>10.5998</v>
      </c>
      <c r="Q7" s="9">
        <v>8.5388000000000002</v>
      </c>
      <c r="R7" s="9">
        <v>9.1270000000000007</v>
      </c>
      <c r="S7" s="9">
        <v>11.9406</v>
      </c>
      <c r="T7" s="9">
        <v>4.3265000000000002</v>
      </c>
      <c r="U7" s="9">
        <v>7.2659000000000002</v>
      </c>
      <c r="V7" s="9">
        <v>9.2769999999999992</v>
      </c>
      <c r="W7" s="9">
        <v>6.4051999999999998</v>
      </c>
      <c r="X7" s="9">
        <v>11.6104</v>
      </c>
      <c r="Y7" s="9">
        <v>7.8570000000000002</v>
      </c>
      <c r="Z7" s="9">
        <v>12.723599999999999</v>
      </c>
      <c r="AA7" s="9">
        <v>9.5193999999999992</v>
      </c>
      <c r="AB7" s="9">
        <v>5.4913999999999996</v>
      </c>
      <c r="AC7" s="9">
        <v>7.7111000000000001</v>
      </c>
      <c r="AD7" s="9">
        <v>12.420500000000001</v>
      </c>
      <c r="AE7" s="9">
        <v>10.271000000000001</v>
      </c>
      <c r="AF7" s="9">
        <v>7.7030000000000003</v>
      </c>
      <c r="AG7" s="9">
        <v>14.874499999999999</v>
      </c>
      <c r="AH7" s="9">
        <v>11.1355</v>
      </c>
      <c r="AI7" s="9">
        <v>10.560600000000001</v>
      </c>
      <c r="AJ7" s="9">
        <v>9.2040000000000006</v>
      </c>
      <c r="AK7" s="9">
        <v>11.704000000000001</v>
      </c>
      <c r="AL7" s="9">
        <v>11.208299999999999</v>
      </c>
      <c r="AM7" s="11">
        <v>8.6630000000000003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ht="15.75" x14ac:dyDescent="0.3">
      <c r="A8" s="5" t="s">
        <v>48</v>
      </c>
      <c r="B8" s="6"/>
      <c r="C8" s="6" t="s">
        <v>39</v>
      </c>
      <c r="D8" s="10" t="s">
        <v>40</v>
      </c>
      <c r="E8" s="8" t="s">
        <v>41</v>
      </c>
      <c r="F8" s="8" t="s">
        <v>177</v>
      </c>
      <c r="G8" s="47">
        <v>4.2679999999999998</v>
      </c>
      <c r="H8" s="9">
        <v>3.641</v>
      </c>
      <c r="I8" s="9">
        <v>6.8819999999999997</v>
      </c>
      <c r="J8" s="9">
        <v>6.375</v>
      </c>
      <c r="K8" s="9">
        <v>6.3329000000000004</v>
      </c>
      <c r="L8" s="9">
        <v>4.4866000000000001</v>
      </c>
      <c r="M8" s="9">
        <v>8.0223999999999993</v>
      </c>
      <c r="N8" s="9">
        <v>4.3433000000000002</v>
      </c>
      <c r="O8" s="9">
        <v>8.3828999999999994</v>
      </c>
      <c r="P8" s="9">
        <v>7.0294999999999996</v>
      </c>
      <c r="Q8" s="9">
        <v>5.2129000000000003</v>
      </c>
      <c r="R8" s="9">
        <v>2.8748</v>
      </c>
      <c r="S8" s="9">
        <v>5.1879</v>
      </c>
      <c r="T8" s="9">
        <v>2.3521000000000001</v>
      </c>
      <c r="U8" s="9">
        <v>4.2103999999999999</v>
      </c>
      <c r="V8" s="9">
        <v>3.2696000000000001</v>
      </c>
      <c r="W8" s="9">
        <v>2.8229000000000002</v>
      </c>
      <c r="X8" s="9">
        <v>6.3528000000000002</v>
      </c>
      <c r="Y8" s="9">
        <v>5.2141000000000002</v>
      </c>
      <c r="Z8" s="9">
        <v>4.8285999999999998</v>
      </c>
      <c r="AA8" s="9">
        <v>5.2588999999999997</v>
      </c>
      <c r="AB8" s="9">
        <v>2.5255000000000001</v>
      </c>
      <c r="AC8" s="9">
        <v>5.2382999999999997</v>
      </c>
      <c r="AD8" s="9">
        <v>6.3460999999999999</v>
      </c>
      <c r="AE8" s="9">
        <v>5.3179999999999996</v>
      </c>
      <c r="AF8" s="9">
        <v>5.819</v>
      </c>
      <c r="AG8" s="9">
        <v>10.9063</v>
      </c>
      <c r="AH8" s="9">
        <v>7.6986999999999997</v>
      </c>
      <c r="AI8" s="9">
        <v>6.4053000000000004</v>
      </c>
      <c r="AJ8" s="9">
        <v>3.1970000000000001</v>
      </c>
      <c r="AK8" s="9">
        <v>5.2359999999999998</v>
      </c>
      <c r="AL8" s="9">
        <v>6.1275000000000004</v>
      </c>
      <c r="AM8" s="11">
        <v>5.1550000000000002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ht="15.75" x14ac:dyDescent="0.3">
      <c r="A9" s="5" t="s">
        <v>49</v>
      </c>
      <c r="B9" s="6"/>
      <c r="C9" s="6" t="s">
        <v>39</v>
      </c>
      <c r="D9" s="10" t="s">
        <v>40</v>
      </c>
      <c r="E9" s="8" t="s">
        <v>41</v>
      </c>
      <c r="F9" s="8" t="s">
        <v>177</v>
      </c>
      <c r="G9" s="47">
        <v>75.680400000000006</v>
      </c>
      <c r="H9" s="9">
        <v>74.232200000000006</v>
      </c>
      <c r="I9" s="9">
        <v>75.289100000000005</v>
      </c>
      <c r="J9" s="9">
        <v>61.099899999999998</v>
      </c>
      <c r="K9" s="9">
        <v>77.858000000000004</v>
      </c>
      <c r="L9" s="9">
        <v>69.721299999999999</v>
      </c>
      <c r="M9" s="9">
        <v>45.228299999999997</v>
      </c>
      <c r="N9" s="9">
        <v>76.660499999999999</v>
      </c>
      <c r="O9" s="9">
        <v>69.152500000000003</v>
      </c>
      <c r="P9" s="9">
        <v>69.437200000000004</v>
      </c>
      <c r="Q9" s="9">
        <v>69.448099999999997</v>
      </c>
      <c r="R9" s="9">
        <v>49.341099999999997</v>
      </c>
      <c r="S9" s="9">
        <v>60.290700000000001</v>
      </c>
      <c r="T9" s="9">
        <v>73.654200000000003</v>
      </c>
      <c r="U9" s="9">
        <v>67.9452</v>
      </c>
      <c r="V9" s="9">
        <v>62.855800000000002</v>
      </c>
      <c r="W9" s="9">
        <v>62.970500000000001</v>
      </c>
      <c r="X9" s="9">
        <v>61.112499999999997</v>
      </c>
      <c r="Y9" s="9">
        <v>77.971500000000006</v>
      </c>
      <c r="Z9" s="9">
        <v>47.5687</v>
      </c>
      <c r="AA9" s="9">
        <v>58.817999999999998</v>
      </c>
      <c r="AB9" s="9">
        <v>71.949700000000007</v>
      </c>
      <c r="AC9" s="9">
        <v>72.798100000000005</v>
      </c>
      <c r="AD9" s="9">
        <v>66.0244</v>
      </c>
      <c r="AE9" s="9">
        <v>70.162000000000006</v>
      </c>
      <c r="AF9" s="9">
        <v>74.171999999999997</v>
      </c>
      <c r="AG9" s="9">
        <v>61.764099999999999</v>
      </c>
      <c r="AH9" s="9">
        <v>69.102999999999994</v>
      </c>
      <c r="AI9" s="9">
        <v>63.816099999999999</v>
      </c>
      <c r="AJ9" s="9">
        <v>58.432000000000002</v>
      </c>
      <c r="AK9" s="9">
        <v>67.289000000000001</v>
      </c>
      <c r="AL9" s="9">
        <v>67.522400000000005</v>
      </c>
      <c r="AM9" s="11">
        <v>66.467399999999998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ht="15.75" x14ac:dyDescent="0.3">
      <c r="A10" s="5" t="s">
        <v>50</v>
      </c>
      <c r="B10" s="6"/>
      <c r="C10" s="6" t="s">
        <v>39</v>
      </c>
      <c r="D10" s="10" t="s">
        <v>40</v>
      </c>
      <c r="E10" s="8" t="s">
        <v>41</v>
      </c>
      <c r="F10" s="8" t="s">
        <v>177</v>
      </c>
      <c r="G10" s="47">
        <v>3.1819000000000002</v>
      </c>
      <c r="H10" s="9">
        <v>2.1696</v>
      </c>
      <c r="I10" s="9">
        <v>7.1927000000000003</v>
      </c>
      <c r="J10" s="9">
        <v>10.2155</v>
      </c>
      <c r="K10" s="9">
        <v>3.7210000000000001</v>
      </c>
      <c r="L10" s="9">
        <v>3.7532000000000001</v>
      </c>
      <c r="M10" s="9">
        <v>7.8106</v>
      </c>
      <c r="N10" s="9">
        <v>3.4716999999999998</v>
      </c>
      <c r="O10" s="9">
        <v>9.5448000000000004</v>
      </c>
      <c r="P10" s="9">
        <v>4.3543000000000003</v>
      </c>
      <c r="Q10" s="9">
        <v>8.2095000000000002</v>
      </c>
      <c r="R10" s="9">
        <v>5.7004999999999999</v>
      </c>
      <c r="S10" s="9">
        <v>10.131399999999999</v>
      </c>
      <c r="T10" s="9">
        <v>1.5662</v>
      </c>
      <c r="U10" s="9">
        <v>5.0873999999999997</v>
      </c>
      <c r="V10" s="9">
        <v>9.0885999999999996</v>
      </c>
      <c r="W10" s="9">
        <v>3.5194999999999999</v>
      </c>
      <c r="X10" s="9">
        <v>7.1050000000000004</v>
      </c>
      <c r="Y10" s="9">
        <v>3.379</v>
      </c>
      <c r="Z10" s="9">
        <v>13.2052</v>
      </c>
      <c r="AA10" s="9">
        <v>8.0579000000000001</v>
      </c>
      <c r="AB10" s="9">
        <v>0.89049999999999996</v>
      </c>
      <c r="AC10" s="9">
        <v>5.7889999999999997</v>
      </c>
      <c r="AD10" s="9">
        <v>8.9774999999999991</v>
      </c>
      <c r="AE10" s="9">
        <v>11.122999999999999</v>
      </c>
      <c r="AF10" s="9">
        <v>4.1760000000000002</v>
      </c>
      <c r="AG10" s="9">
        <v>14.975199999999999</v>
      </c>
      <c r="AH10" s="9">
        <v>11.1097</v>
      </c>
      <c r="AI10" s="9">
        <v>11.557600000000001</v>
      </c>
      <c r="AJ10" s="9">
        <v>6.2359999999999998</v>
      </c>
      <c r="AK10" s="9">
        <v>6.7279999999999998</v>
      </c>
      <c r="AL10" s="9">
        <v>8.0526999999999997</v>
      </c>
      <c r="AM10" s="12">
        <v>6.6143999999999998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ht="15.75" x14ac:dyDescent="0.3">
      <c r="A11" s="5" t="s">
        <v>292</v>
      </c>
      <c r="B11" s="6"/>
      <c r="C11" s="6" t="s">
        <v>39</v>
      </c>
      <c r="D11" s="10" t="s">
        <v>40</v>
      </c>
      <c r="E11" s="8" t="s">
        <v>41</v>
      </c>
      <c r="F11" s="8" t="s">
        <v>177</v>
      </c>
      <c r="G11" s="47">
        <v>22.021699999999999</v>
      </c>
      <c r="H11" s="9">
        <v>31.357099999999999</v>
      </c>
      <c r="I11" s="9">
        <v>20.6205</v>
      </c>
      <c r="J11" s="9">
        <v>39.4754</v>
      </c>
      <c r="K11" s="9">
        <v>28.6769</v>
      </c>
      <c r="L11" s="9">
        <v>24.086099999999998</v>
      </c>
      <c r="M11" s="9">
        <v>49.832700000000003</v>
      </c>
      <c r="N11" s="9">
        <v>27.243600000000001</v>
      </c>
      <c r="O11" s="9">
        <v>30.840499999999999</v>
      </c>
      <c r="P11" s="9">
        <v>32.785699999999999</v>
      </c>
      <c r="Q11" s="9">
        <v>35.849899999999998</v>
      </c>
      <c r="R11" s="9">
        <v>36.9191</v>
      </c>
      <c r="S11" s="9">
        <v>34.1158</v>
      </c>
      <c r="T11" s="9">
        <v>21.973700000000001</v>
      </c>
      <c r="U11" s="9">
        <v>40.197800000000001</v>
      </c>
      <c r="V11" s="9">
        <v>38.134999999999998</v>
      </c>
      <c r="W11" s="9">
        <v>25.433599999999998</v>
      </c>
      <c r="X11" s="9">
        <v>28.418500000000002</v>
      </c>
      <c r="Y11" s="9">
        <v>20.7806</v>
      </c>
      <c r="Z11" s="9">
        <v>34.778300000000002</v>
      </c>
      <c r="AA11" s="9">
        <v>42.197299999999998</v>
      </c>
      <c r="AB11" s="9">
        <v>23.1707</v>
      </c>
      <c r="AC11" s="9">
        <v>34.854199999999999</v>
      </c>
      <c r="AD11" s="9">
        <v>27.028500000000001</v>
      </c>
      <c r="AE11" s="9">
        <v>24.998000000000001</v>
      </c>
      <c r="AF11" s="9">
        <v>24.693999999999999</v>
      </c>
      <c r="AG11" s="9">
        <v>38.442999999999998</v>
      </c>
      <c r="AH11" s="9">
        <v>39.266300000000001</v>
      </c>
      <c r="AI11" s="9">
        <v>44.8386</v>
      </c>
      <c r="AJ11" s="9">
        <v>40.518999999999998</v>
      </c>
      <c r="AK11" s="9">
        <v>33.689</v>
      </c>
      <c r="AL11" s="9">
        <v>36.378999999999998</v>
      </c>
      <c r="AM11" s="12">
        <v>33.584699999999998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ht="15.75" x14ac:dyDescent="0.3">
      <c r="A12" s="5" t="s">
        <v>51</v>
      </c>
      <c r="B12" s="6"/>
      <c r="C12" s="6" t="s">
        <v>39</v>
      </c>
      <c r="D12" s="10" t="s">
        <v>40</v>
      </c>
      <c r="E12" s="8" t="s">
        <v>41</v>
      </c>
      <c r="F12" s="8" t="s">
        <v>177</v>
      </c>
      <c r="G12" s="47">
        <v>22.141100000000002</v>
      </c>
      <c r="H12" s="9">
        <v>18.635400000000001</v>
      </c>
      <c r="I12" s="9">
        <v>18.7117</v>
      </c>
      <c r="J12" s="9">
        <v>28.328600000000002</v>
      </c>
      <c r="K12" s="9">
        <v>20.502099999999999</v>
      </c>
      <c r="L12" s="9">
        <v>18.610199999999999</v>
      </c>
      <c r="M12" s="9">
        <v>29.565200000000001</v>
      </c>
      <c r="N12" s="9">
        <v>14.2447</v>
      </c>
      <c r="O12" s="9">
        <v>27.0608</v>
      </c>
      <c r="P12" s="9">
        <v>25.415800000000001</v>
      </c>
      <c r="Q12" s="9">
        <v>29.976299999999998</v>
      </c>
      <c r="R12" s="9">
        <v>40.836300000000001</v>
      </c>
      <c r="S12" s="9">
        <v>38.806699999999999</v>
      </c>
      <c r="T12" s="9">
        <v>24.710799999999999</v>
      </c>
      <c r="U12" s="9">
        <v>34.838999999999999</v>
      </c>
      <c r="V12" s="9">
        <v>34.697400000000002</v>
      </c>
      <c r="W12" s="9">
        <v>34.746400000000001</v>
      </c>
      <c r="X12" s="9">
        <v>25.6797</v>
      </c>
      <c r="Y12" s="9">
        <v>19.856100000000001</v>
      </c>
      <c r="Z12" s="9">
        <v>38.979999999999997</v>
      </c>
      <c r="AA12" s="9">
        <v>36.155000000000001</v>
      </c>
      <c r="AB12" s="9">
        <v>19.8858</v>
      </c>
      <c r="AC12" s="9">
        <v>23.4131</v>
      </c>
      <c r="AD12" s="9">
        <v>26.997699999999998</v>
      </c>
      <c r="AE12" s="9">
        <v>22.774000000000001</v>
      </c>
      <c r="AF12" s="9">
        <v>19.044</v>
      </c>
      <c r="AG12" s="9">
        <v>35.418799999999997</v>
      </c>
      <c r="AH12" s="9">
        <v>23.765899999999998</v>
      </c>
      <c r="AI12" s="9">
        <v>41.493099999999998</v>
      </c>
      <c r="AJ12" s="9">
        <v>31.841000000000001</v>
      </c>
      <c r="AK12" s="9">
        <v>31.882999999999999</v>
      </c>
      <c r="AL12" s="9">
        <v>24.708100000000002</v>
      </c>
      <c r="AM12" s="12">
        <v>28.798100000000002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ht="15.75" x14ac:dyDescent="0.3">
      <c r="A13" s="5" t="s">
        <v>52</v>
      </c>
      <c r="B13" s="6"/>
      <c r="C13" s="6" t="s">
        <v>39</v>
      </c>
      <c r="D13" s="10" t="s">
        <v>40</v>
      </c>
      <c r="E13" s="13" t="s">
        <v>41</v>
      </c>
      <c r="F13" s="8" t="s">
        <v>177</v>
      </c>
      <c r="G13" s="47">
        <v>40.925800000000002</v>
      </c>
      <c r="H13" s="9">
        <v>37.240600000000001</v>
      </c>
      <c r="I13" s="9">
        <v>37.467199999999998</v>
      </c>
      <c r="J13" s="9">
        <v>60.252400000000002</v>
      </c>
      <c r="K13" s="9">
        <v>33.075899999999997</v>
      </c>
      <c r="L13" s="9">
        <v>47.610799999999998</v>
      </c>
      <c r="M13" s="9">
        <v>76.023600000000002</v>
      </c>
      <c r="N13" s="9">
        <v>33.646299999999997</v>
      </c>
      <c r="O13" s="9">
        <v>44.661999999999999</v>
      </c>
      <c r="P13" s="9">
        <v>50.011499999999998</v>
      </c>
      <c r="Q13" s="9">
        <v>54.733699999999999</v>
      </c>
      <c r="R13" s="9">
        <v>76.478800000000007</v>
      </c>
      <c r="S13" s="9">
        <v>71.659099999999995</v>
      </c>
      <c r="T13" s="9">
        <v>46.939599999999999</v>
      </c>
      <c r="U13" s="9">
        <v>54.097499999999997</v>
      </c>
      <c r="V13" s="9">
        <v>67.828100000000006</v>
      </c>
      <c r="W13" s="9">
        <v>66.139600000000002</v>
      </c>
      <c r="X13" s="9">
        <v>58.922800000000002</v>
      </c>
      <c r="Y13" s="9">
        <v>32.546599999999998</v>
      </c>
      <c r="Z13" s="9">
        <v>76.272900000000007</v>
      </c>
      <c r="AA13" s="9">
        <v>71.991500000000002</v>
      </c>
      <c r="AB13" s="9">
        <v>40.130200000000002</v>
      </c>
      <c r="AC13" s="9">
        <v>42.681899999999999</v>
      </c>
      <c r="AD13" s="9">
        <v>55.176000000000002</v>
      </c>
      <c r="AE13" s="9">
        <v>46.561999999999998</v>
      </c>
      <c r="AF13" s="9">
        <v>40.843000000000004</v>
      </c>
      <c r="AG13" s="9">
        <v>66.697699999999998</v>
      </c>
      <c r="AH13" s="9">
        <v>45.545900000000003</v>
      </c>
      <c r="AI13" s="9">
        <v>70.941800000000001</v>
      </c>
      <c r="AJ13" s="9">
        <v>70.125</v>
      </c>
      <c r="AK13" s="9">
        <v>57.021999999999998</v>
      </c>
      <c r="AL13" s="9">
        <v>57.787100000000002</v>
      </c>
      <c r="AM13" s="12">
        <v>54.308799999999998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s="21" customFormat="1" ht="18" customHeight="1" x14ac:dyDescent="0.3">
      <c r="A14" s="14" t="s">
        <v>53</v>
      </c>
      <c r="B14" s="15" t="s">
        <v>54</v>
      </c>
      <c r="C14" s="16" t="s">
        <v>55</v>
      </c>
      <c r="D14" s="17" t="s">
        <v>293</v>
      </c>
      <c r="E14" s="13" t="s">
        <v>56</v>
      </c>
      <c r="F14" s="18" t="s">
        <v>290</v>
      </c>
      <c r="G14" s="48">
        <v>364440</v>
      </c>
      <c r="H14" s="44">
        <v>1015910</v>
      </c>
      <c r="I14" s="44">
        <v>227158</v>
      </c>
      <c r="J14" s="44">
        <v>132502</v>
      </c>
      <c r="K14" s="44">
        <v>860670</v>
      </c>
      <c r="L14" s="44">
        <v>155171</v>
      </c>
      <c r="M14" s="44">
        <v>261623</v>
      </c>
      <c r="N14" s="44">
        <v>970489</v>
      </c>
      <c r="O14" s="44">
        <v>3464080</v>
      </c>
      <c r="P14" s="44">
        <v>259083</v>
      </c>
      <c r="Q14" s="44">
        <v>1124195</v>
      </c>
      <c r="R14" s="44">
        <v>165010</v>
      </c>
      <c r="S14" s="44">
        <v>282679</v>
      </c>
      <c r="T14" s="44">
        <v>2042927</v>
      </c>
      <c r="U14" s="44">
        <v>1918960</v>
      </c>
      <c r="V14" s="44">
        <v>489455</v>
      </c>
      <c r="W14" s="44">
        <v>219727</v>
      </c>
      <c r="X14" s="44">
        <v>181999</v>
      </c>
      <c r="Y14" s="44">
        <v>1943395</v>
      </c>
      <c r="Z14" s="44">
        <v>229463</v>
      </c>
      <c r="AA14" s="44">
        <v>661230</v>
      </c>
      <c r="AB14" s="44">
        <v>716079</v>
      </c>
      <c r="AC14" s="44">
        <v>527401</v>
      </c>
      <c r="AD14" s="44">
        <v>481648</v>
      </c>
      <c r="AE14" s="44">
        <v>569151</v>
      </c>
      <c r="AF14" s="44">
        <v>651986</v>
      </c>
      <c r="AG14" s="44">
        <v>199380</v>
      </c>
      <c r="AH14" s="44">
        <v>695327</v>
      </c>
      <c r="AI14" s="44">
        <v>117034</v>
      </c>
      <c r="AJ14" s="44">
        <v>768836</v>
      </c>
      <c r="AK14" s="44">
        <v>439005</v>
      </c>
      <c r="AL14" s="44">
        <v>189653</v>
      </c>
      <c r="AM14" s="45">
        <v>22325666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</row>
    <row r="15" spans="1:72" ht="15.75" x14ac:dyDescent="0.3">
      <c r="A15" s="5" t="s">
        <v>57</v>
      </c>
      <c r="B15" s="6"/>
      <c r="C15" s="6" t="s">
        <v>58</v>
      </c>
      <c r="D15" s="10" t="s">
        <v>289</v>
      </c>
      <c r="E15" s="8" t="s">
        <v>59</v>
      </c>
      <c r="F15" s="22">
        <v>2024</v>
      </c>
      <c r="G15" s="47">
        <v>77786</v>
      </c>
      <c r="H15" s="23">
        <v>141477</v>
      </c>
      <c r="I15" s="23">
        <v>43079</v>
      </c>
      <c r="J15" s="23">
        <v>54772</v>
      </c>
      <c r="K15" s="23">
        <v>131504</v>
      </c>
      <c r="L15" s="23">
        <v>44193</v>
      </c>
      <c r="M15" s="23">
        <v>338021</v>
      </c>
      <c r="N15" s="23">
        <v>150252</v>
      </c>
      <c r="O15" s="23">
        <v>453823</v>
      </c>
      <c r="P15" s="23">
        <v>95102</v>
      </c>
      <c r="Q15" s="23">
        <v>343204</v>
      </c>
      <c r="R15" s="23">
        <v>273301</v>
      </c>
      <c r="S15" s="24">
        <v>200776</v>
      </c>
      <c r="T15" s="23">
        <v>424339</v>
      </c>
      <c r="U15" s="23">
        <v>896931</v>
      </c>
      <c r="V15" s="23">
        <v>343470</v>
      </c>
      <c r="W15" s="23">
        <v>125348</v>
      </c>
      <c r="X15" s="23">
        <v>85366</v>
      </c>
      <c r="Y15" s="23">
        <v>209041</v>
      </c>
      <c r="Z15" s="23">
        <v>349160</v>
      </c>
      <c r="AA15" s="23">
        <v>469865</v>
      </c>
      <c r="AB15" s="23">
        <v>126028</v>
      </c>
      <c r="AC15" s="23">
        <v>74640</v>
      </c>
      <c r="AD15" s="23">
        <v>168322</v>
      </c>
      <c r="AE15" s="23">
        <v>151740</v>
      </c>
      <c r="AF15" s="23">
        <v>133972</v>
      </c>
      <c r="AG15" s="23">
        <v>140391</v>
      </c>
      <c r="AH15" s="23">
        <v>158486</v>
      </c>
      <c r="AI15" s="23">
        <v>107029</v>
      </c>
      <c r="AJ15" s="23">
        <v>486272</v>
      </c>
      <c r="AK15" s="23">
        <v>156152</v>
      </c>
      <c r="AL15" s="10">
        <v>102657</v>
      </c>
      <c r="AM15" s="12">
        <v>7056499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15.75" x14ac:dyDescent="0.3">
      <c r="A16" s="5" t="s">
        <v>60</v>
      </c>
      <c r="B16" s="6"/>
      <c r="C16" s="6" t="s">
        <v>58</v>
      </c>
      <c r="D16" s="10" t="s">
        <v>289</v>
      </c>
      <c r="E16" s="8" t="s">
        <v>59</v>
      </c>
      <c r="F16" s="13">
        <v>2024</v>
      </c>
      <c r="G16" s="47">
        <v>530944</v>
      </c>
      <c r="H16" s="23">
        <v>1349952</v>
      </c>
      <c r="I16" s="23">
        <v>308039</v>
      </c>
      <c r="J16" s="23">
        <v>285860</v>
      </c>
      <c r="K16" s="23">
        <v>1140757</v>
      </c>
      <c r="L16" s="23">
        <v>246171</v>
      </c>
      <c r="M16" s="23">
        <v>1099615</v>
      </c>
      <c r="N16" s="23">
        <v>1329352</v>
      </c>
      <c r="O16" s="23">
        <v>4163511</v>
      </c>
      <c r="P16" s="23">
        <v>510617</v>
      </c>
      <c r="Q16" s="23">
        <v>1818126</v>
      </c>
      <c r="R16" s="23">
        <v>903131</v>
      </c>
      <c r="S16" s="24">
        <v>757295</v>
      </c>
      <c r="T16" s="23">
        <v>2535827</v>
      </c>
      <c r="U16" s="23">
        <v>3618167</v>
      </c>
      <c r="V16" s="23">
        <v>1230612</v>
      </c>
      <c r="W16" s="23">
        <v>518740</v>
      </c>
      <c r="X16" s="23">
        <v>367184</v>
      </c>
      <c r="Y16" s="23">
        <v>2123974</v>
      </c>
      <c r="Z16" s="23">
        <v>1043544</v>
      </c>
      <c r="AA16" s="23">
        <v>1693814</v>
      </c>
      <c r="AB16" s="23">
        <v>890464</v>
      </c>
      <c r="AC16" s="23">
        <v>580287</v>
      </c>
      <c r="AD16" s="23">
        <v>831786</v>
      </c>
      <c r="AE16" s="23">
        <v>850554</v>
      </c>
      <c r="AF16" s="23">
        <v>955515</v>
      </c>
      <c r="AG16" s="23">
        <v>619302</v>
      </c>
      <c r="AH16" s="23">
        <v>1108426</v>
      </c>
      <c r="AI16" s="23">
        <v>384123</v>
      </c>
      <c r="AJ16" s="23">
        <v>1809830</v>
      </c>
      <c r="AK16" s="23">
        <v>760911</v>
      </c>
      <c r="AL16" s="10">
        <v>427174</v>
      </c>
      <c r="AM16" s="12">
        <v>36793604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ht="15.75" x14ac:dyDescent="0.3">
      <c r="A17" s="5" t="s">
        <v>61</v>
      </c>
      <c r="B17" s="6" t="s">
        <v>62</v>
      </c>
      <c r="C17" s="6" t="s">
        <v>63</v>
      </c>
      <c r="D17" s="25" t="s">
        <v>64</v>
      </c>
      <c r="E17" s="8" t="s">
        <v>59</v>
      </c>
      <c r="F17" s="13">
        <v>2019</v>
      </c>
      <c r="G17" s="47">
        <v>421977.13799999998</v>
      </c>
      <c r="H17" s="10">
        <v>615636.27</v>
      </c>
      <c r="I17" s="10">
        <v>104995.821</v>
      </c>
      <c r="J17" s="10">
        <v>592383.24899999995</v>
      </c>
      <c r="K17" s="10">
        <v>1241790.591</v>
      </c>
      <c r="L17" s="10">
        <v>80519.129000000001</v>
      </c>
      <c r="M17" s="10">
        <v>191044.29199999999</v>
      </c>
      <c r="N17" s="10">
        <v>542572.82400000002</v>
      </c>
      <c r="O17" s="10">
        <v>4280286.8080000002</v>
      </c>
      <c r="P17" s="10">
        <v>203320.943</v>
      </c>
      <c r="Q17" s="10">
        <v>1364944.423</v>
      </c>
      <c r="R17" s="10">
        <v>115003.572</v>
      </c>
      <c r="S17" s="26">
        <v>401036.69400000002</v>
      </c>
      <c r="T17" s="10">
        <v>1390382.82</v>
      </c>
      <c r="U17" s="10">
        <v>1831551.338</v>
      </c>
      <c r="V17" s="10">
        <v>325855.326</v>
      </c>
      <c r="W17" s="10">
        <v>232809.818</v>
      </c>
      <c r="X17" s="10">
        <v>74815.460000000006</v>
      </c>
      <c r="Y17" s="10">
        <v>2195663.395</v>
      </c>
      <c r="Z17" s="10">
        <v>334615.72899999999</v>
      </c>
      <c r="AA17" s="10">
        <v>775086.00399999996</v>
      </c>
      <c r="AB17" s="10">
        <v>670968.41</v>
      </c>
      <c r="AC17" s="10">
        <v>248330.24400000001</v>
      </c>
      <c r="AD17" s="10">
        <v>614215.64300000004</v>
      </c>
      <c r="AE17" s="10">
        <v>269789.09999999998</v>
      </c>
      <c r="AF17" s="10">
        <v>679332.35100000002</v>
      </c>
      <c r="AG17" s="10">
        <v>436317.54399999999</v>
      </c>
      <c r="AH17" s="10">
        <v>609593.76199999999</v>
      </c>
      <c r="AI17" s="10">
        <v>126912.34299999999</v>
      </c>
      <c r="AJ17" s="10">
        <v>885308.83700000006</v>
      </c>
      <c r="AK17" s="10">
        <v>219909.60699999999</v>
      </c>
      <c r="AL17" s="10">
        <v>135280.47399999999</v>
      </c>
      <c r="AM17" s="12">
        <v>22212249.976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ht="16.5" thickBot="1" x14ac:dyDescent="0.35">
      <c r="A18" s="5" t="s">
        <v>294</v>
      </c>
      <c r="B18" s="6"/>
      <c r="C18" s="6" t="s">
        <v>65</v>
      </c>
      <c r="D18" s="27" t="s">
        <v>295</v>
      </c>
      <c r="E18" s="8" t="s">
        <v>56</v>
      </c>
      <c r="F18" s="28" t="s">
        <v>178</v>
      </c>
      <c r="G18" s="47">
        <v>96</v>
      </c>
      <c r="H18" s="33">
        <v>109</v>
      </c>
      <c r="I18" s="33">
        <v>64.2</v>
      </c>
      <c r="J18" s="33">
        <v>65.3</v>
      </c>
      <c r="K18" s="33">
        <v>84.5</v>
      </c>
      <c r="L18" s="33">
        <v>84.1</v>
      </c>
      <c r="M18" s="33">
        <v>101.3</v>
      </c>
      <c r="N18" s="33">
        <v>110.6</v>
      </c>
      <c r="O18" s="33">
        <v>98.2</v>
      </c>
      <c r="P18" s="33">
        <v>106.8</v>
      </c>
      <c r="Q18" s="33">
        <v>102.8</v>
      </c>
      <c r="R18" s="33">
        <v>83.3</v>
      </c>
      <c r="S18" s="34">
        <v>96.5</v>
      </c>
      <c r="T18" s="33">
        <v>100.7</v>
      </c>
      <c r="U18" s="33">
        <v>90</v>
      </c>
      <c r="V18" s="33">
        <v>93.6</v>
      </c>
      <c r="W18" s="33">
        <v>96.1</v>
      </c>
      <c r="X18" s="33">
        <v>78.099999999999994</v>
      </c>
      <c r="Y18" s="33">
        <v>105.4</v>
      </c>
      <c r="Z18" s="33">
        <v>152.9</v>
      </c>
      <c r="AA18" s="33">
        <v>84.8</v>
      </c>
      <c r="AB18" s="33">
        <v>94.7</v>
      </c>
      <c r="AC18" s="33">
        <v>104.6</v>
      </c>
      <c r="AD18" s="33">
        <v>102.5</v>
      </c>
      <c r="AE18" s="33">
        <v>79.599999999999994</v>
      </c>
      <c r="AF18" s="33">
        <v>108.4</v>
      </c>
      <c r="AG18" s="33">
        <v>126.6</v>
      </c>
      <c r="AH18" s="33">
        <v>96.3</v>
      </c>
      <c r="AI18" s="33">
        <v>93.3</v>
      </c>
      <c r="AJ18" s="33">
        <v>101.3</v>
      </c>
      <c r="AK18" s="33">
        <v>97.5</v>
      </c>
      <c r="AL18" s="33">
        <v>112.1</v>
      </c>
      <c r="AM18" s="12">
        <v>97.9</v>
      </c>
      <c r="AN18" s="29" t="s">
        <v>66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ht="16.5" thickBot="1" x14ac:dyDescent="0.35">
      <c r="A19" s="5" t="s">
        <v>67</v>
      </c>
      <c r="B19" s="6" t="s">
        <v>68</v>
      </c>
      <c r="C19" s="6" t="s">
        <v>65</v>
      </c>
      <c r="D19" s="27" t="s">
        <v>69</v>
      </c>
      <c r="E19" s="8" t="s">
        <v>70</v>
      </c>
      <c r="F19" s="28" t="s">
        <v>71</v>
      </c>
      <c r="G19" s="49">
        <v>334211</v>
      </c>
      <c r="H19" s="30">
        <v>951066</v>
      </c>
      <c r="I19" s="30">
        <v>181155</v>
      </c>
      <c r="J19" s="30">
        <v>508300</v>
      </c>
      <c r="K19" s="30">
        <v>929625</v>
      </c>
      <c r="L19" s="30">
        <v>154500</v>
      </c>
      <c r="M19" s="30">
        <v>380225</v>
      </c>
      <c r="N19" s="30">
        <v>940263</v>
      </c>
      <c r="O19" s="30">
        <v>3806083</v>
      </c>
      <c r="P19" s="30">
        <v>309709</v>
      </c>
      <c r="Q19" s="30">
        <v>1130785</v>
      </c>
      <c r="R19" s="30">
        <v>313713</v>
      </c>
      <c r="S19" s="31">
        <v>442971</v>
      </c>
      <c r="T19" s="30">
        <v>1834578</v>
      </c>
      <c r="U19" s="30">
        <v>2275498</v>
      </c>
      <c r="V19" s="30">
        <v>679344</v>
      </c>
      <c r="W19" s="30">
        <v>265593</v>
      </c>
      <c r="X19" s="30">
        <v>162750</v>
      </c>
      <c r="Y19" s="30">
        <v>1995055</v>
      </c>
      <c r="Z19" s="30">
        <v>447312</v>
      </c>
      <c r="AA19" s="30">
        <v>852625</v>
      </c>
      <c r="AB19" s="30">
        <v>614127</v>
      </c>
      <c r="AC19" s="30">
        <v>403785</v>
      </c>
      <c r="AD19" s="30">
        <v>575595</v>
      </c>
      <c r="AE19" s="30">
        <v>517684</v>
      </c>
      <c r="AF19" s="30">
        <v>827424</v>
      </c>
      <c r="AG19" s="30">
        <v>656392</v>
      </c>
      <c r="AH19" s="30">
        <v>748220</v>
      </c>
      <c r="AI19" s="30">
        <v>148814</v>
      </c>
      <c r="AJ19" s="30">
        <v>1067881</v>
      </c>
      <c r="AK19" s="30">
        <v>389194</v>
      </c>
      <c r="AL19" s="30">
        <v>228807</v>
      </c>
      <c r="AM19" s="19" t="s">
        <v>72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ht="15" customHeight="1" x14ac:dyDescent="0.3">
      <c r="A20" s="5" t="s">
        <v>296</v>
      </c>
      <c r="B20" s="15" t="s">
        <v>297</v>
      </c>
      <c r="C20" s="6" t="s">
        <v>73</v>
      </c>
      <c r="D20" s="25" t="s">
        <v>298</v>
      </c>
      <c r="E20" s="8" t="s">
        <v>70</v>
      </c>
      <c r="F20" s="13">
        <v>2025</v>
      </c>
      <c r="G20" s="47">
        <v>5</v>
      </c>
      <c r="H20" s="10">
        <v>11</v>
      </c>
      <c r="I20" s="10">
        <v>2</v>
      </c>
      <c r="J20" s="10">
        <v>19</v>
      </c>
      <c r="K20" s="10">
        <v>7</v>
      </c>
      <c r="L20" s="10">
        <v>18</v>
      </c>
      <c r="M20" s="10">
        <v>32</v>
      </c>
      <c r="N20" s="10">
        <v>8</v>
      </c>
      <c r="O20" s="10">
        <v>1</v>
      </c>
      <c r="P20" s="10">
        <v>20</v>
      </c>
      <c r="Q20" s="10">
        <v>13</v>
      </c>
      <c r="R20" s="10">
        <v>31</v>
      </c>
      <c r="S20" s="26">
        <v>14</v>
      </c>
      <c r="T20" s="10">
        <v>4</v>
      </c>
      <c r="U20" s="10">
        <v>23</v>
      </c>
      <c r="V20" s="10">
        <v>29</v>
      </c>
      <c r="W20" s="10">
        <v>27</v>
      </c>
      <c r="X20" s="10">
        <v>22</v>
      </c>
      <c r="Y20" s="10">
        <v>3</v>
      </c>
      <c r="Z20" s="10">
        <v>30</v>
      </c>
      <c r="AA20" s="10">
        <v>24</v>
      </c>
      <c r="AB20" s="10">
        <v>6</v>
      </c>
      <c r="AC20" s="10">
        <v>21</v>
      </c>
      <c r="AD20" s="10">
        <v>12</v>
      </c>
      <c r="AE20" s="10">
        <v>16</v>
      </c>
      <c r="AF20" s="10">
        <v>9</v>
      </c>
      <c r="AG20" s="10">
        <v>25</v>
      </c>
      <c r="AH20" s="10">
        <v>15</v>
      </c>
      <c r="AI20" s="10">
        <v>17</v>
      </c>
      <c r="AJ20" s="10">
        <v>26</v>
      </c>
      <c r="AK20" s="10">
        <v>10</v>
      </c>
      <c r="AL20" s="10">
        <v>28</v>
      </c>
      <c r="AM20" s="1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ht="15.75" x14ac:dyDescent="0.3">
      <c r="A21" s="5" t="s">
        <v>74</v>
      </c>
      <c r="B21" s="6"/>
      <c r="C21" s="6" t="s">
        <v>75</v>
      </c>
      <c r="D21" s="25" t="s">
        <v>76</v>
      </c>
      <c r="E21" s="8" t="s">
        <v>77</v>
      </c>
      <c r="F21" s="13" t="s">
        <v>42</v>
      </c>
      <c r="G21" s="73" t="s">
        <v>186</v>
      </c>
      <c r="H21" s="73" t="s">
        <v>187</v>
      </c>
      <c r="I21" s="73" t="s">
        <v>188</v>
      </c>
      <c r="J21" s="73" t="s">
        <v>189</v>
      </c>
      <c r="K21" s="73" t="s">
        <v>190</v>
      </c>
      <c r="L21" s="73" t="s">
        <v>191</v>
      </c>
      <c r="M21" s="73" t="s">
        <v>192</v>
      </c>
      <c r="N21" s="73" t="s">
        <v>193</v>
      </c>
      <c r="O21" s="73" t="s">
        <v>194</v>
      </c>
      <c r="P21" s="73" t="s">
        <v>195</v>
      </c>
      <c r="Q21" s="73" t="s">
        <v>196</v>
      </c>
      <c r="R21" s="73" t="s">
        <v>197</v>
      </c>
      <c r="S21" s="74" t="s">
        <v>198</v>
      </c>
      <c r="T21" s="73" t="s">
        <v>199</v>
      </c>
      <c r="U21" s="73" t="s">
        <v>198</v>
      </c>
      <c r="V21" s="73" t="s">
        <v>200</v>
      </c>
      <c r="W21" s="73" t="s">
        <v>201</v>
      </c>
      <c r="X21" s="73" t="s">
        <v>202</v>
      </c>
      <c r="Y21" s="73" t="s">
        <v>203</v>
      </c>
      <c r="Z21" s="73" t="s">
        <v>204</v>
      </c>
      <c r="AA21" s="73" t="s">
        <v>205</v>
      </c>
      <c r="AB21" s="73" t="s">
        <v>206</v>
      </c>
      <c r="AC21" s="73" t="s">
        <v>207</v>
      </c>
      <c r="AD21" s="73" t="s">
        <v>208</v>
      </c>
      <c r="AE21" s="73" t="s">
        <v>209</v>
      </c>
      <c r="AF21" s="73" t="s">
        <v>210</v>
      </c>
      <c r="AG21" s="73" t="s">
        <v>211</v>
      </c>
      <c r="AH21" s="73" t="s">
        <v>212</v>
      </c>
      <c r="AI21" s="73" t="s">
        <v>213</v>
      </c>
      <c r="AJ21" s="73" t="s">
        <v>198</v>
      </c>
      <c r="AK21" s="73" t="s">
        <v>214</v>
      </c>
      <c r="AL21" s="73" t="s">
        <v>215</v>
      </c>
      <c r="AM21" s="75" t="s">
        <v>216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ht="15.75" x14ac:dyDescent="0.3">
      <c r="A22" s="5" t="s">
        <v>310</v>
      </c>
      <c r="B22" s="6"/>
      <c r="C22" s="6" t="s">
        <v>75</v>
      </c>
      <c r="D22" s="25" t="s">
        <v>78</v>
      </c>
      <c r="E22" s="8" t="s">
        <v>77</v>
      </c>
      <c r="F22" s="13" t="s">
        <v>42</v>
      </c>
      <c r="G22" s="50">
        <v>235</v>
      </c>
      <c r="H22" s="50">
        <v>277</v>
      </c>
      <c r="I22" s="50">
        <v>208</v>
      </c>
      <c r="J22" s="50">
        <v>501</v>
      </c>
      <c r="K22" s="50">
        <v>297</v>
      </c>
      <c r="L22" s="50">
        <v>226</v>
      </c>
      <c r="M22" s="50">
        <v>86</v>
      </c>
      <c r="N22" s="50">
        <v>267</v>
      </c>
      <c r="O22" s="50">
        <v>402</v>
      </c>
      <c r="P22" s="50">
        <v>192</v>
      </c>
      <c r="Q22" s="50">
        <v>205</v>
      </c>
      <c r="R22" s="50">
        <v>119</v>
      </c>
      <c r="S22" s="52">
        <v>160</v>
      </c>
      <c r="T22" s="50">
        <v>236</v>
      </c>
      <c r="U22" s="50">
        <v>133</v>
      </c>
      <c r="V22" s="50">
        <v>157</v>
      </c>
      <c r="W22" s="50">
        <v>158</v>
      </c>
      <c r="X22" s="50">
        <v>137</v>
      </c>
      <c r="Y22" s="50">
        <v>347</v>
      </c>
      <c r="Z22" s="50">
        <v>147</v>
      </c>
      <c r="AA22" s="50">
        <v>144</v>
      </c>
      <c r="AB22" s="50">
        <v>246</v>
      </c>
      <c r="AC22" s="50">
        <v>170</v>
      </c>
      <c r="AD22" s="50">
        <v>243</v>
      </c>
      <c r="AE22" s="50">
        <v>187</v>
      </c>
      <c r="AF22" s="50">
        <v>304</v>
      </c>
      <c r="AG22" s="50">
        <v>285</v>
      </c>
      <c r="AH22" s="50">
        <v>249</v>
      </c>
      <c r="AI22" s="50">
        <v>109</v>
      </c>
      <c r="AJ22" s="50">
        <v>165</v>
      </c>
      <c r="AK22" s="50">
        <v>178</v>
      </c>
      <c r="AL22" s="50">
        <v>183</v>
      </c>
      <c r="AM22" s="53">
        <v>-1E-3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ht="15.75" x14ac:dyDescent="0.3">
      <c r="A23" s="5" t="s">
        <v>79</v>
      </c>
      <c r="B23" s="6"/>
      <c r="C23" s="6" t="s">
        <v>75</v>
      </c>
      <c r="D23" s="25" t="s">
        <v>76</v>
      </c>
      <c r="E23" s="8" t="s">
        <v>80</v>
      </c>
      <c r="F23" s="18" t="s">
        <v>179</v>
      </c>
      <c r="G23" s="50">
        <v>6515</v>
      </c>
      <c r="H23" s="50">
        <v>13283</v>
      </c>
      <c r="I23" s="50">
        <v>7140</v>
      </c>
      <c r="J23" s="50">
        <v>-7349</v>
      </c>
      <c r="K23" s="50">
        <v>2318</v>
      </c>
      <c r="L23" s="50">
        <v>3395</v>
      </c>
      <c r="M23" s="50">
        <v>-928</v>
      </c>
      <c r="N23" s="50">
        <v>3758</v>
      </c>
      <c r="O23" s="50">
        <v>1726</v>
      </c>
      <c r="P23" s="50">
        <v>2240</v>
      </c>
      <c r="Q23" s="50">
        <v>12726</v>
      </c>
      <c r="R23" s="50">
        <v>-3232</v>
      </c>
      <c r="S23" s="52">
        <v>8464</v>
      </c>
      <c r="T23" s="50">
        <v>18726</v>
      </c>
      <c r="U23" s="50">
        <v>37022</v>
      </c>
      <c r="V23" s="50">
        <v>2819</v>
      </c>
      <c r="W23" s="50">
        <v>-764</v>
      </c>
      <c r="X23" s="50">
        <v>-1367</v>
      </c>
      <c r="Y23" s="50">
        <v>26874</v>
      </c>
      <c r="Z23" s="50">
        <v>-5480</v>
      </c>
      <c r="AA23" s="50">
        <v>-614</v>
      </c>
      <c r="AB23" s="50">
        <v>7826</v>
      </c>
      <c r="AC23" s="50">
        <v>14612</v>
      </c>
      <c r="AD23" s="50">
        <v>3257</v>
      </c>
      <c r="AE23" s="50">
        <v>-21079</v>
      </c>
      <c r="AF23" s="50">
        <v>7136</v>
      </c>
      <c r="AG23" s="50">
        <v>-2492</v>
      </c>
      <c r="AH23" s="50">
        <v>4691</v>
      </c>
      <c r="AI23" s="50">
        <v>1666</v>
      </c>
      <c r="AJ23" s="50">
        <v>-7386</v>
      </c>
      <c r="AK23" s="50">
        <v>568</v>
      </c>
      <c r="AL23" s="50">
        <v>-2406</v>
      </c>
      <c r="AM23" s="53">
        <f>SUM(G23:AL23)</f>
        <v>133665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ht="15.75" x14ac:dyDescent="0.3">
      <c r="A24" s="5" t="s">
        <v>81</v>
      </c>
      <c r="B24" s="6"/>
      <c r="C24" s="6" t="s">
        <v>75</v>
      </c>
      <c r="D24" s="25" t="s">
        <v>76</v>
      </c>
      <c r="E24" s="8" t="s">
        <v>77</v>
      </c>
      <c r="F24" s="13" t="s">
        <v>177</v>
      </c>
      <c r="G24" s="50" t="s">
        <v>217</v>
      </c>
      <c r="H24" s="50" t="s">
        <v>218</v>
      </c>
      <c r="I24" s="51" t="s">
        <v>219</v>
      </c>
      <c r="J24" s="51" t="s">
        <v>220</v>
      </c>
      <c r="K24" s="50" t="s">
        <v>221</v>
      </c>
      <c r="L24" s="50" t="s">
        <v>222</v>
      </c>
      <c r="M24" s="51" t="s">
        <v>223</v>
      </c>
      <c r="N24" s="50" t="s">
        <v>224</v>
      </c>
      <c r="O24" s="50" t="s">
        <v>225</v>
      </c>
      <c r="P24" s="51" t="s">
        <v>226</v>
      </c>
      <c r="Q24" s="50" t="s">
        <v>227</v>
      </c>
      <c r="R24" s="51" t="s">
        <v>228</v>
      </c>
      <c r="S24" s="52" t="s">
        <v>229</v>
      </c>
      <c r="T24" s="50" t="s">
        <v>230</v>
      </c>
      <c r="U24" s="50" t="s">
        <v>231</v>
      </c>
      <c r="V24" s="50" t="s">
        <v>232</v>
      </c>
      <c r="W24" s="50" t="s">
        <v>233</v>
      </c>
      <c r="X24" s="51" t="s">
        <v>234</v>
      </c>
      <c r="Y24" s="50" t="s">
        <v>235</v>
      </c>
      <c r="Z24" s="50" t="s">
        <v>236</v>
      </c>
      <c r="AA24" s="50" t="s">
        <v>237</v>
      </c>
      <c r="AB24" s="50" t="s">
        <v>238</v>
      </c>
      <c r="AC24" s="50" t="s">
        <v>239</v>
      </c>
      <c r="AD24" s="50" t="s">
        <v>240</v>
      </c>
      <c r="AE24" s="50" t="s">
        <v>241</v>
      </c>
      <c r="AF24" s="50" t="s">
        <v>242</v>
      </c>
      <c r="AG24" s="50" t="s">
        <v>243</v>
      </c>
      <c r="AH24" s="50" t="s">
        <v>244</v>
      </c>
      <c r="AI24" s="51" t="s">
        <v>245</v>
      </c>
      <c r="AJ24" s="50" t="s">
        <v>246</v>
      </c>
      <c r="AK24" s="50" t="s">
        <v>247</v>
      </c>
      <c r="AL24" s="50" t="s">
        <v>248</v>
      </c>
      <c r="AM24" s="53" t="s">
        <v>249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15.75" x14ac:dyDescent="0.3">
      <c r="A25" s="5" t="s">
        <v>82</v>
      </c>
      <c r="B25" s="6"/>
      <c r="C25" s="6" t="s">
        <v>75</v>
      </c>
      <c r="D25" s="25" t="s">
        <v>76</v>
      </c>
      <c r="E25" s="8" t="s">
        <v>70</v>
      </c>
      <c r="F25" s="13">
        <v>2020</v>
      </c>
      <c r="G25" s="76" t="s">
        <v>250</v>
      </c>
      <c r="H25" s="76" t="s">
        <v>251</v>
      </c>
      <c r="I25" s="76" t="s">
        <v>252</v>
      </c>
      <c r="J25" s="76" t="s">
        <v>253</v>
      </c>
      <c r="K25" s="76" t="s">
        <v>216</v>
      </c>
      <c r="L25" s="76" t="s">
        <v>192</v>
      </c>
      <c r="M25" s="76" t="s">
        <v>254</v>
      </c>
      <c r="N25" s="76" t="s">
        <v>255</v>
      </c>
      <c r="O25" s="76" t="s">
        <v>254</v>
      </c>
      <c r="P25" s="77" t="s">
        <v>256</v>
      </c>
      <c r="Q25" s="76" t="s">
        <v>257</v>
      </c>
      <c r="R25" s="76" t="s">
        <v>257</v>
      </c>
      <c r="S25" s="78" t="s">
        <v>257</v>
      </c>
      <c r="T25" s="76" t="s">
        <v>257</v>
      </c>
      <c r="U25" s="76" t="s">
        <v>216</v>
      </c>
      <c r="V25" s="76" t="s">
        <v>252</v>
      </c>
      <c r="W25" s="76" t="s">
        <v>254</v>
      </c>
      <c r="X25" s="76" t="s">
        <v>254</v>
      </c>
      <c r="Y25" s="76" t="s">
        <v>258</v>
      </c>
      <c r="Z25" s="76" t="s">
        <v>259</v>
      </c>
      <c r="AA25" s="76" t="s">
        <v>190</v>
      </c>
      <c r="AB25" s="76" t="s">
        <v>253</v>
      </c>
      <c r="AC25" s="76" t="s">
        <v>260</v>
      </c>
      <c r="AD25" s="76" t="s">
        <v>250</v>
      </c>
      <c r="AE25" s="76" t="s">
        <v>190</v>
      </c>
      <c r="AF25" s="76" t="s">
        <v>195</v>
      </c>
      <c r="AG25" s="76" t="s">
        <v>216</v>
      </c>
      <c r="AH25" s="76" t="s">
        <v>252</v>
      </c>
      <c r="AI25" s="76" t="s">
        <v>253</v>
      </c>
      <c r="AJ25" s="76" t="s">
        <v>191</v>
      </c>
      <c r="AK25" s="76" t="s">
        <v>257</v>
      </c>
      <c r="AL25" s="76" t="s">
        <v>216</v>
      </c>
      <c r="AM25" s="72" t="s">
        <v>261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ht="15.75" x14ac:dyDescent="0.3">
      <c r="A26" s="5" t="s">
        <v>83</v>
      </c>
      <c r="B26" s="6"/>
      <c r="C26" s="6" t="s">
        <v>75</v>
      </c>
      <c r="D26" s="25" t="s">
        <v>78</v>
      </c>
      <c r="E26" s="8" t="s">
        <v>77</v>
      </c>
      <c r="F26" s="13" t="s">
        <v>177</v>
      </c>
      <c r="G26" s="50">
        <v>0.33900000000000002</v>
      </c>
      <c r="H26" s="50">
        <v>0.26800000000000002</v>
      </c>
      <c r="I26" s="50">
        <v>0.35199999999999998</v>
      </c>
      <c r="J26" s="50">
        <v>0.40100000000000002</v>
      </c>
      <c r="K26" s="50">
        <v>0.313</v>
      </c>
      <c r="L26" s="50">
        <v>0.33600000000000002</v>
      </c>
      <c r="M26" s="50">
        <v>0.39900000000000002</v>
      </c>
      <c r="N26" s="50">
        <v>0.314</v>
      </c>
      <c r="O26" s="50">
        <v>0.42299999999999999</v>
      </c>
      <c r="P26" s="50">
        <v>0.32600000000000001</v>
      </c>
      <c r="Q26" s="50">
        <v>0.309</v>
      </c>
      <c r="R26" s="50">
        <v>0.38200000000000001</v>
      </c>
      <c r="S26" s="52">
        <v>0.38700000000000001</v>
      </c>
      <c r="T26" s="50">
        <v>0.307</v>
      </c>
      <c r="U26" s="50">
        <v>0.32100000000000001</v>
      </c>
      <c r="V26" s="50">
        <v>0.33200000000000002</v>
      </c>
      <c r="W26" s="50">
        <v>0.316</v>
      </c>
      <c r="X26" s="50">
        <v>0.35499999999999998</v>
      </c>
      <c r="Y26" s="50">
        <v>0.35299999999999998</v>
      </c>
      <c r="Z26" s="50">
        <v>0.40300000000000002</v>
      </c>
      <c r="AA26" s="50">
        <v>0.372</v>
      </c>
      <c r="AB26" s="50">
        <v>0.32600000000000001</v>
      </c>
      <c r="AC26" s="50">
        <v>0.32800000000000001</v>
      </c>
      <c r="AD26" s="50">
        <v>0.35899999999999999</v>
      </c>
      <c r="AE26" s="50">
        <v>0.34499999999999997</v>
      </c>
      <c r="AF26" s="50">
        <v>0.311</v>
      </c>
      <c r="AG26" s="50">
        <v>0.39700000000000002</v>
      </c>
      <c r="AH26" s="50">
        <v>0.33800000000000002</v>
      </c>
      <c r="AI26" s="50">
        <v>0.34899999999999998</v>
      </c>
      <c r="AJ26" s="50">
        <v>0.41899999999999998</v>
      </c>
      <c r="AK26" s="50">
        <v>0.38200000000000001</v>
      </c>
      <c r="AL26" s="50">
        <v>0.34</v>
      </c>
      <c r="AM26" s="53">
        <v>0.5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ht="15.75" x14ac:dyDescent="0.3">
      <c r="A27" s="5" t="s">
        <v>84</v>
      </c>
      <c r="B27" s="6"/>
      <c r="C27" s="6" t="s">
        <v>75</v>
      </c>
      <c r="D27" s="10" t="s">
        <v>299</v>
      </c>
      <c r="E27" s="8" t="s">
        <v>77</v>
      </c>
      <c r="F27" s="13" t="s">
        <v>85</v>
      </c>
      <c r="G27" s="50" t="s">
        <v>262</v>
      </c>
      <c r="H27" s="50" t="s">
        <v>263</v>
      </c>
      <c r="I27" s="51" t="s">
        <v>264</v>
      </c>
      <c r="J27" s="51" t="s">
        <v>265</v>
      </c>
      <c r="K27" s="50" t="s">
        <v>266</v>
      </c>
      <c r="L27" s="50" t="s">
        <v>267</v>
      </c>
      <c r="M27" s="51" t="s">
        <v>268</v>
      </c>
      <c r="N27" s="50" t="s">
        <v>268</v>
      </c>
      <c r="O27" s="50" t="s">
        <v>269</v>
      </c>
      <c r="P27" s="51" t="s">
        <v>270</v>
      </c>
      <c r="Q27" s="50" t="s">
        <v>271</v>
      </c>
      <c r="R27" s="51" t="s">
        <v>272</v>
      </c>
      <c r="S27" s="52" t="s">
        <v>273</v>
      </c>
      <c r="T27" s="50" t="s">
        <v>274</v>
      </c>
      <c r="U27" s="50" t="s">
        <v>275</v>
      </c>
      <c r="V27" s="50" t="s">
        <v>266</v>
      </c>
      <c r="W27" s="50" t="s">
        <v>276</v>
      </c>
      <c r="X27" s="51" t="s">
        <v>277</v>
      </c>
      <c r="Y27" s="50" t="s">
        <v>278</v>
      </c>
      <c r="Z27" s="50" t="s">
        <v>279</v>
      </c>
      <c r="AA27" s="50" t="s">
        <v>280</v>
      </c>
      <c r="AB27" s="50" t="s">
        <v>273</v>
      </c>
      <c r="AC27" s="50" t="s">
        <v>278</v>
      </c>
      <c r="AD27" s="50" t="s">
        <v>281</v>
      </c>
      <c r="AE27" s="50" t="s">
        <v>281</v>
      </c>
      <c r="AF27" s="50" t="s">
        <v>269</v>
      </c>
      <c r="AG27" s="50" t="s">
        <v>282</v>
      </c>
      <c r="AH27" s="50" t="s">
        <v>275</v>
      </c>
      <c r="AI27" s="51" t="s">
        <v>276</v>
      </c>
      <c r="AJ27" s="50" t="s">
        <v>283</v>
      </c>
      <c r="AK27" s="50" t="s">
        <v>264</v>
      </c>
      <c r="AL27" s="50" t="s">
        <v>284</v>
      </c>
      <c r="AM27" s="3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s="21" customFormat="1" ht="15.75" x14ac:dyDescent="0.3">
      <c r="A28" s="5" t="s">
        <v>86</v>
      </c>
      <c r="B28" s="10"/>
      <c r="C28" s="6" t="s">
        <v>87</v>
      </c>
      <c r="D28" s="25" t="s">
        <v>300</v>
      </c>
      <c r="E28" s="8" t="s">
        <v>88</v>
      </c>
      <c r="F28" s="13">
        <v>2024</v>
      </c>
      <c r="G28" s="54">
        <v>105.07621317828175</v>
      </c>
      <c r="H28" s="54">
        <v>208.14707465753958</v>
      </c>
      <c r="I28" s="54">
        <v>157.49948973493332</v>
      </c>
      <c r="J28" s="54">
        <v>399.91560784340135</v>
      </c>
      <c r="K28" s="54">
        <v>-129.45418225836261</v>
      </c>
      <c r="L28" s="54">
        <v>-0.27996742073834624</v>
      </c>
      <c r="M28" s="54">
        <v>-1.0823308528535724</v>
      </c>
      <c r="N28" s="54">
        <v>269.34879056793204</v>
      </c>
      <c r="O28" s="54">
        <v>-487.78793007049836</v>
      </c>
      <c r="P28" s="54">
        <v>6.0188935200595983</v>
      </c>
      <c r="Q28" s="54">
        <v>-247.36173731070156</v>
      </c>
      <c r="R28" s="54">
        <v>7.8197054390060403</v>
      </c>
      <c r="S28" s="55">
        <v>13.370712825712168</v>
      </c>
      <c r="T28" s="54">
        <v>-42.144863379832124</v>
      </c>
      <c r="U28" s="54">
        <v>34.913090848154276</v>
      </c>
      <c r="V28" s="54">
        <v>-29.547802067842717</v>
      </c>
      <c r="W28" s="54">
        <v>-3.880228933264656</v>
      </c>
      <c r="X28" s="54">
        <v>35.670707746835014</v>
      </c>
      <c r="Y28" s="54">
        <v>338.3422941932493</v>
      </c>
      <c r="Z28" s="54">
        <v>-9.7217681039863351</v>
      </c>
      <c r="AA28" s="54">
        <v>27.689783918942268</v>
      </c>
      <c r="AB28" s="54">
        <v>29.53667699110273</v>
      </c>
      <c r="AC28" s="54">
        <v>76.298760940946096</v>
      </c>
      <c r="AD28" s="54">
        <v>-148.16380666257274</v>
      </c>
      <c r="AE28" s="54">
        <v>35.451719248488111</v>
      </c>
      <c r="AF28" s="54">
        <v>80.470837267155403</v>
      </c>
      <c r="AG28" s="54">
        <v>19.71402615522393</v>
      </c>
      <c r="AH28" s="54">
        <v>159.76302048023499</v>
      </c>
      <c r="AI28" s="54">
        <v>5.9629998707161214</v>
      </c>
      <c r="AJ28" s="54">
        <v>-114.27931979622784</v>
      </c>
      <c r="AK28" s="54">
        <v>-208.18894757804981</v>
      </c>
      <c r="AL28" s="54">
        <v>87.36617844927224</v>
      </c>
      <c r="AM28" s="56">
        <v>676.48369944225556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</row>
    <row r="29" spans="1:72" ht="18.75" customHeight="1" x14ac:dyDescent="0.3">
      <c r="A29" s="5" t="s">
        <v>301</v>
      </c>
      <c r="B29" s="6" t="s">
        <v>302</v>
      </c>
      <c r="C29" s="6" t="s">
        <v>65</v>
      </c>
      <c r="D29" s="7" t="s">
        <v>89</v>
      </c>
      <c r="E29" s="8" t="s">
        <v>88</v>
      </c>
      <c r="F29" s="13">
        <v>2024</v>
      </c>
      <c r="G29" s="47">
        <v>101.3</v>
      </c>
      <c r="H29" s="47">
        <v>108.5</v>
      </c>
      <c r="I29" s="47">
        <v>101.7</v>
      </c>
      <c r="J29" s="47">
        <v>79.8</v>
      </c>
      <c r="K29" s="47">
        <v>95</v>
      </c>
      <c r="L29" s="47">
        <v>103.4</v>
      </c>
      <c r="M29" s="47">
        <v>110.8</v>
      </c>
      <c r="N29" s="47">
        <v>111.2</v>
      </c>
      <c r="O29" s="47">
        <v>106.3</v>
      </c>
      <c r="P29" s="47">
        <v>102.8</v>
      </c>
      <c r="Q29" s="47">
        <v>106.4</v>
      </c>
      <c r="R29" s="47">
        <v>103.6</v>
      </c>
      <c r="S29" s="57">
        <v>107</v>
      </c>
      <c r="T29" s="47">
        <v>103.8</v>
      </c>
      <c r="U29" s="47">
        <v>103.8</v>
      </c>
      <c r="V29" s="47">
        <v>105.6</v>
      </c>
      <c r="W29" s="47">
        <v>98.6</v>
      </c>
      <c r="X29" s="47">
        <v>102.4</v>
      </c>
      <c r="Y29" s="47">
        <v>109.8</v>
      </c>
      <c r="Z29" s="47">
        <v>123.3</v>
      </c>
      <c r="AA29" s="47">
        <v>103.8</v>
      </c>
      <c r="AB29" s="47">
        <v>101.5</v>
      </c>
      <c r="AC29" s="47">
        <v>102.4</v>
      </c>
      <c r="AD29" s="47">
        <v>103</v>
      </c>
      <c r="AE29" s="47">
        <v>92.3</v>
      </c>
      <c r="AF29" s="47">
        <v>105.4</v>
      </c>
      <c r="AG29" s="47">
        <v>123.7</v>
      </c>
      <c r="AH29" s="47">
        <v>105.9</v>
      </c>
      <c r="AI29" s="47">
        <v>101.3</v>
      </c>
      <c r="AJ29" s="47">
        <v>106.7</v>
      </c>
      <c r="AK29" s="47">
        <v>110.4</v>
      </c>
      <c r="AL29" s="47">
        <v>104</v>
      </c>
      <c r="AM29" s="58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s="36" customFormat="1" ht="15.75" x14ac:dyDescent="0.3">
      <c r="A30" s="5" t="s">
        <v>303</v>
      </c>
      <c r="B30" s="6" t="s">
        <v>304</v>
      </c>
      <c r="C30" s="6" t="s">
        <v>90</v>
      </c>
      <c r="D30" s="27" t="s">
        <v>91</v>
      </c>
      <c r="E30" s="8" t="s">
        <v>88</v>
      </c>
      <c r="F30" s="13">
        <v>2024</v>
      </c>
      <c r="G30" s="47">
        <v>1.1724000000000001</v>
      </c>
      <c r="H30" s="47">
        <v>0.99419999999999997</v>
      </c>
      <c r="I30" s="47">
        <v>0.79969999999999997</v>
      </c>
      <c r="J30" s="59">
        <v>0.83479999999999999</v>
      </c>
      <c r="K30" s="59">
        <v>0.96230000000000004</v>
      </c>
      <c r="L30" s="59">
        <v>0.85489999999999999</v>
      </c>
      <c r="M30" s="59">
        <v>0.91579999999999995</v>
      </c>
      <c r="N30" s="59">
        <v>0.84970000000000001</v>
      </c>
      <c r="O30" s="59">
        <v>0.76729999999999998</v>
      </c>
      <c r="P30" s="59">
        <v>0.83830000000000005</v>
      </c>
      <c r="Q30" s="59">
        <v>1.1143000000000001</v>
      </c>
      <c r="R30" s="59">
        <v>1.0159</v>
      </c>
      <c r="S30" s="60">
        <v>0.87819999999999998</v>
      </c>
      <c r="T30" s="59">
        <v>1.0423</v>
      </c>
      <c r="U30" s="59">
        <v>0.95409999999999995</v>
      </c>
      <c r="V30" s="59">
        <v>1.0432999999999999</v>
      </c>
      <c r="W30" s="59">
        <v>1.0461</v>
      </c>
      <c r="X30" s="59">
        <v>0.87939999999999996</v>
      </c>
      <c r="Y30" s="59">
        <v>1.0083</v>
      </c>
      <c r="Z30" s="59">
        <v>1.0235000000000001</v>
      </c>
      <c r="AA30" s="59">
        <v>1.0048999999999999</v>
      </c>
      <c r="AB30" s="59">
        <v>0.95389999999999997</v>
      </c>
      <c r="AC30" s="59">
        <v>0.72370000000000001</v>
      </c>
      <c r="AD30" s="59">
        <v>0.93589999999999995</v>
      </c>
      <c r="AE30" s="59">
        <v>1.0586</v>
      </c>
      <c r="AF30" s="59">
        <v>0.94910000000000005</v>
      </c>
      <c r="AG30" s="59">
        <v>1.0123</v>
      </c>
      <c r="AH30" s="59">
        <v>0.89249999999999996</v>
      </c>
      <c r="AI30" s="59">
        <v>0.90700000000000003</v>
      </c>
      <c r="AJ30" s="59">
        <v>1.0471999999999999</v>
      </c>
      <c r="AK30" s="59">
        <v>0.75260000000000005</v>
      </c>
      <c r="AL30" s="59">
        <v>0.93530000000000002</v>
      </c>
      <c r="AM30" s="61">
        <v>0.9667</v>
      </c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s="36" customFormat="1" ht="15.75" x14ac:dyDescent="0.3">
      <c r="A31" s="5" t="s">
        <v>311</v>
      </c>
      <c r="B31" s="6"/>
      <c r="C31" s="6" t="s">
        <v>90</v>
      </c>
      <c r="D31" s="7" t="s">
        <v>305</v>
      </c>
      <c r="E31" s="10" t="s">
        <v>88</v>
      </c>
      <c r="F31" s="37">
        <v>2024</v>
      </c>
      <c r="G31" s="62">
        <v>35.8855800057</v>
      </c>
      <c r="H31" s="62">
        <v>20.648082017700002</v>
      </c>
      <c r="I31" s="62">
        <v>13.162618355400001</v>
      </c>
      <c r="J31" s="62">
        <v>34.832393314600004</v>
      </c>
      <c r="K31" s="62">
        <v>24.448247905600002</v>
      </c>
      <c r="L31" s="62">
        <v>22.467847539899999</v>
      </c>
      <c r="M31" s="62">
        <v>62.223753737800003</v>
      </c>
      <c r="N31" s="62">
        <v>20.8261905703</v>
      </c>
      <c r="O31" s="62">
        <v>22.302618944300001</v>
      </c>
      <c r="P31" s="62">
        <v>28.977024173</v>
      </c>
      <c r="Q31" s="62">
        <v>37.069114783800003</v>
      </c>
      <c r="R31" s="62">
        <v>57.242003867900003</v>
      </c>
      <c r="S31" s="63">
        <v>41.013663488799999</v>
      </c>
      <c r="T31" s="62">
        <v>24.924265947800002</v>
      </c>
      <c r="U31" s="62">
        <v>33.173861175700004</v>
      </c>
      <c r="V31" s="62">
        <v>33.358536324700005</v>
      </c>
      <c r="W31" s="62">
        <v>48.680034118400002</v>
      </c>
      <c r="X31" s="62">
        <v>27.948777922800002</v>
      </c>
      <c r="Y31" s="62">
        <v>20.3615779187</v>
      </c>
      <c r="Z31" s="62">
        <v>60.112659557500002</v>
      </c>
      <c r="AA31" s="62">
        <v>43.0889627898</v>
      </c>
      <c r="AB31" s="62">
        <v>33.192657390299999</v>
      </c>
      <c r="AC31" s="62">
        <v>20.110003457600001</v>
      </c>
      <c r="AD31" s="62">
        <v>41.126966485800004</v>
      </c>
      <c r="AE31" s="62">
        <v>27.296897473400001</v>
      </c>
      <c r="AF31" s="62">
        <v>25.677724489399999</v>
      </c>
      <c r="AG31" s="62">
        <v>41.958328309500004</v>
      </c>
      <c r="AH31" s="62">
        <v>29.499988672100002</v>
      </c>
      <c r="AI31" s="62">
        <v>42.3018815764</v>
      </c>
      <c r="AJ31" s="62">
        <v>51.937952500400002</v>
      </c>
      <c r="AK31" s="62">
        <v>26.091576116800002</v>
      </c>
      <c r="AL31" s="62">
        <v>44.7596757803</v>
      </c>
      <c r="AM31" s="64">
        <v>35.4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s="36" customFormat="1" ht="15.75" x14ac:dyDescent="0.3">
      <c r="A32" s="5" t="s">
        <v>92</v>
      </c>
      <c r="B32" s="6"/>
      <c r="C32" s="6" t="s">
        <v>90</v>
      </c>
      <c r="D32" s="7" t="s">
        <v>93</v>
      </c>
      <c r="E32" s="8" t="s">
        <v>88</v>
      </c>
      <c r="F32" s="13">
        <v>2024</v>
      </c>
      <c r="G32" s="59">
        <v>4325.9718161396004</v>
      </c>
      <c r="H32" s="59">
        <v>5966.8346849299005</v>
      </c>
      <c r="I32" s="59">
        <v>7540.6135954013007</v>
      </c>
      <c r="J32" s="59">
        <v>4105.1915312643005</v>
      </c>
      <c r="K32" s="59">
        <v>5107.9072953162004</v>
      </c>
      <c r="L32" s="59">
        <v>5412.7149670467006</v>
      </c>
      <c r="M32" s="59">
        <v>2211.2238513333</v>
      </c>
      <c r="N32" s="59">
        <v>5815.3865713571004</v>
      </c>
      <c r="O32" s="59">
        <v>6881.7545213419999</v>
      </c>
      <c r="P32" s="59">
        <v>4043.9127534773002</v>
      </c>
      <c r="Q32" s="59">
        <v>3443.2923842198002</v>
      </c>
      <c r="R32" s="59">
        <v>2442.6071276858002</v>
      </c>
      <c r="S32" s="60">
        <v>3341.1029420014002</v>
      </c>
      <c r="T32" s="59">
        <v>4885.9295720128002</v>
      </c>
      <c r="U32" s="59">
        <v>4068.6532464011002</v>
      </c>
      <c r="V32" s="59">
        <v>3914.5380859338002</v>
      </c>
      <c r="W32" s="59">
        <v>2778.1633572133001</v>
      </c>
      <c r="X32" s="59">
        <v>4844.1867888178003</v>
      </c>
      <c r="Y32" s="59">
        <v>6105.5413849770002</v>
      </c>
      <c r="Z32" s="59">
        <v>2332.1696225502001</v>
      </c>
      <c r="AA32" s="59">
        <v>3292.6597807579001</v>
      </c>
      <c r="AB32" s="59">
        <v>4444.8243981025998</v>
      </c>
      <c r="AC32" s="59">
        <v>5665.2139566669002</v>
      </c>
      <c r="AD32" s="59">
        <v>3801.5238736972001</v>
      </c>
      <c r="AE32" s="59">
        <v>4773.8699207592999</v>
      </c>
      <c r="AF32" s="59">
        <v>4802.1984253699002</v>
      </c>
      <c r="AG32" s="59">
        <v>3361.8725029911002</v>
      </c>
      <c r="AH32" s="59">
        <v>4645.4734392216005</v>
      </c>
      <c r="AI32" s="59">
        <v>3237.5707650386003</v>
      </c>
      <c r="AJ32" s="59">
        <v>2851.3021698447001</v>
      </c>
      <c r="AK32" s="59">
        <v>4766.6474054827004</v>
      </c>
      <c r="AL32" s="59">
        <v>3061.6271762004003</v>
      </c>
      <c r="AM32" s="60">
        <v>4242.0332071310004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s="36" customFormat="1" ht="15.75" x14ac:dyDescent="0.3">
      <c r="A33" s="5" t="s">
        <v>94</v>
      </c>
      <c r="B33" s="6"/>
      <c r="C33" s="6" t="s">
        <v>306</v>
      </c>
      <c r="D33" s="27" t="s">
        <v>91</v>
      </c>
      <c r="E33" s="8" t="s">
        <v>88</v>
      </c>
      <c r="F33" s="13">
        <v>2024</v>
      </c>
      <c r="G33" s="59">
        <v>3053.7599251495003</v>
      </c>
      <c r="H33" s="59">
        <v>4212.8647568275001</v>
      </c>
      <c r="I33" s="59">
        <v>5323.9708718781003</v>
      </c>
      <c r="J33" s="59">
        <v>2897.8732251164001</v>
      </c>
      <c r="K33" s="59">
        <v>3606.4326271962</v>
      </c>
      <c r="L33" s="59">
        <v>3821.5026705427003</v>
      </c>
      <c r="M33" s="59">
        <v>1560.4613834493</v>
      </c>
      <c r="N33" s="59">
        <v>4105.8186866096003</v>
      </c>
      <c r="O33" s="59">
        <v>4859.4087162569003</v>
      </c>
      <c r="P33" s="59">
        <v>2854.2987218379999</v>
      </c>
      <c r="Q33" s="59">
        <v>2430.2762698593001</v>
      </c>
      <c r="R33" s="59">
        <v>1724.0372306910001</v>
      </c>
      <c r="S33" s="60">
        <v>2357.5902503419002</v>
      </c>
      <c r="T33" s="59">
        <v>3449.4866512096</v>
      </c>
      <c r="U33" s="59">
        <v>2872.4390170536999</v>
      </c>
      <c r="V33" s="59">
        <v>2762.796940836</v>
      </c>
      <c r="W33" s="59">
        <v>1960.8603148683001</v>
      </c>
      <c r="X33" s="59">
        <v>3419.2186870850001</v>
      </c>
      <c r="Y33" s="59">
        <v>4311.0403875120001</v>
      </c>
      <c r="Z33" s="59">
        <v>1645.6730906591001</v>
      </c>
      <c r="AA33" s="59">
        <v>2324.2422161540999</v>
      </c>
      <c r="AB33" s="59">
        <v>3137.3690263693002</v>
      </c>
      <c r="AC33" s="59">
        <v>3999.9734840876004</v>
      </c>
      <c r="AD33" s="59">
        <v>2683.2099955450003</v>
      </c>
      <c r="AE33" s="59">
        <v>3369.6519410259002</v>
      </c>
      <c r="AF33" s="59">
        <v>3390.2442505270001</v>
      </c>
      <c r="AG33" s="59">
        <v>2372.1012777837</v>
      </c>
      <c r="AH33" s="59">
        <v>3279.9985241376003</v>
      </c>
      <c r="AI33" s="59">
        <v>2285.4129154165003</v>
      </c>
      <c r="AJ33" s="59">
        <v>2012.2802993897001</v>
      </c>
      <c r="AK33" s="59">
        <v>3365.1325291925</v>
      </c>
      <c r="AL33" s="59">
        <v>2160.5447865842002</v>
      </c>
      <c r="AM33" s="60">
        <v>2994.6356194636001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ht="15.75" x14ac:dyDescent="0.3">
      <c r="A34" s="5" t="s">
        <v>95</v>
      </c>
      <c r="B34" s="6"/>
      <c r="C34" s="6" t="s">
        <v>65</v>
      </c>
      <c r="D34" s="7" t="s">
        <v>96</v>
      </c>
      <c r="E34" s="8" t="s">
        <v>180</v>
      </c>
      <c r="F34" s="13">
        <v>2025</v>
      </c>
      <c r="G34" s="65">
        <v>3252237</v>
      </c>
      <c r="H34" s="65">
        <v>12588098</v>
      </c>
      <c r="I34" s="65">
        <v>114865</v>
      </c>
      <c r="J34" s="65">
        <v>2525137</v>
      </c>
      <c r="K34" s="65">
        <v>15811519</v>
      </c>
      <c r="L34" s="65">
        <v>440573</v>
      </c>
      <c r="M34" s="65">
        <v>297995</v>
      </c>
      <c r="N34" s="65">
        <v>21320700</v>
      </c>
      <c r="O34" s="65">
        <v>942219</v>
      </c>
      <c r="P34" s="65">
        <v>694175</v>
      </c>
      <c r="Q34" s="65">
        <v>7520703</v>
      </c>
      <c r="R34" s="65">
        <v>270453</v>
      </c>
      <c r="S34" s="66">
        <v>750091</v>
      </c>
      <c r="T34" s="65">
        <v>8457107</v>
      </c>
      <c r="U34" s="65">
        <v>5909847</v>
      </c>
      <c r="V34" s="65">
        <v>2074049</v>
      </c>
      <c r="W34" s="65">
        <v>1000285</v>
      </c>
      <c r="X34" s="65">
        <v>91825</v>
      </c>
      <c r="Y34" s="65">
        <v>13259403</v>
      </c>
      <c r="Z34" s="65">
        <v>318174</v>
      </c>
      <c r="AA34" s="65">
        <v>3360222</v>
      </c>
      <c r="AB34" s="65">
        <v>4016949</v>
      </c>
      <c r="AC34" s="65">
        <v>5238</v>
      </c>
      <c r="AD34" s="65">
        <v>5676929</v>
      </c>
      <c r="AE34" s="65">
        <v>1329199</v>
      </c>
      <c r="AF34" s="65">
        <v>6994659</v>
      </c>
      <c r="AG34" s="65">
        <v>1955702</v>
      </c>
      <c r="AH34" s="65">
        <v>8606640</v>
      </c>
      <c r="AI34" s="65">
        <v>472085</v>
      </c>
      <c r="AJ34" s="65">
        <v>1939962</v>
      </c>
      <c r="AK34" s="65">
        <v>560094</v>
      </c>
      <c r="AL34" s="65">
        <v>1067838</v>
      </c>
      <c r="AM34" s="67">
        <v>133624972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ht="17.25" x14ac:dyDescent="0.3">
      <c r="A35" s="5" t="s">
        <v>97</v>
      </c>
      <c r="B35" s="6"/>
      <c r="C35" s="6" t="s">
        <v>98</v>
      </c>
      <c r="D35" s="25" t="s">
        <v>99</v>
      </c>
      <c r="E35" s="8" t="s">
        <v>100</v>
      </c>
      <c r="F35" s="13">
        <v>2025</v>
      </c>
      <c r="G35" s="47">
        <v>216.84876</v>
      </c>
      <c r="H35" s="47">
        <v>340.52905199999998</v>
      </c>
      <c r="I35" s="47">
        <v>34.248475999999997</v>
      </c>
      <c r="J35" s="47">
        <v>39.712581</v>
      </c>
      <c r="K35" s="47">
        <v>201.54666599999999</v>
      </c>
      <c r="L35" s="47">
        <v>98.575035999999997</v>
      </c>
      <c r="M35" s="47">
        <v>972.43627000000004</v>
      </c>
      <c r="N35" s="47">
        <v>321.23939300000001</v>
      </c>
      <c r="O35" s="47">
        <v>943.84304699999996</v>
      </c>
      <c r="P35" s="47">
        <v>284.70518199999998</v>
      </c>
      <c r="Q35" s="47">
        <v>1218.2743620000001</v>
      </c>
      <c r="R35" s="47">
        <v>798.83874700000001</v>
      </c>
      <c r="S35" s="68">
        <v>395.95253000000002</v>
      </c>
      <c r="T35" s="47">
        <v>1249.8963020000001</v>
      </c>
      <c r="U35" s="47">
        <v>891.62964199999999</v>
      </c>
      <c r="V35" s="47">
        <v>1269.152036</v>
      </c>
      <c r="W35" s="47">
        <v>263.63649900000001</v>
      </c>
      <c r="X35" s="47">
        <v>184.73745299999999</v>
      </c>
      <c r="Y35" s="47">
        <v>270.496623</v>
      </c>
      <c r="Z35" s="47">
        <v>808.49295400000005</v>
      </c>
      <c r="AA35" s="47">
        <v>789.39654099999996</v>
      </c>
      <c r="AB35" s="47">
        <v>278.63904500000001</v>
      </c>
      <c r="AC35" s="47">
        <v>84.837181999999999</v>
      </c>
      <c r="AD35" s="47">
        <v>450.04708799999997</v>
      </c>
      <c r="AE35" s="47">
        <v>175.74956700000001</v>
      </c>
      <c r="AF35" s="47">
        <v>178.31619000000001</v>
      </c>
      <c r="AG35" s="47">
        <v>79.158569</v>
      </c>
      <c r="AH35" s="47">
        <v>217.78977800000001</v>
      </c>
      <c r="AI35" s="47">
        <v>86.645222000000004</v>
      </c>
      <c r="AJ35" s="47">
        <v>595.095418</v>
      </c>
      <c r="AK35" s="47">
        <v>107.81626799999999</v>
      </c>
      <c r="AL35" s="47">
        <v>420.67062299999998</v>
      </c>
      <c r="AM35" s="69">
        <v>14268.953101999999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ht="15.75" x14ac:dyDescent="0.3">
      <c r="A36" s="5" t="s">
        <v>101</v>
      </c>
      <c r="B36" s="6"/>
      <c r="C36" s="6" t="s">
        <v>102</v>
      </c>
      <c r="D36" s="27" t="s">
        <v>103</v>
      </c>
      <c r="E36" s="8" t="s">
        <v>104</v>
      </c>
      <c r="F36" s="13">
        <v>2022</v>
      </c>
      <c r="G36" s="47">
        <v>45315.231273163197</v>
      </c>
      <c r="H36" s="47">
        <v>50313.427120758002</v>
      </c>
      <c r="I36" s="47">
        <v>48198.512022758099</v>
      </c>
      <c r="J36" s="47">
        <v>35775.553810704099</v>
      </c>
      <c r="K36" s="47">
        <v>44004.963325897901</v>
      </c>
      <c r="L36" s="47">
        <v>43116.572851290701</v>
      </c>
      <c r="M36" s="47">
        <v>25942.883325936498</v>
      </c>
      <c r="N36" s="47">
        <v>40095.888248948897</v>
      </c>
      <c r="O36" s="47">
        <v>58897.633597378699</v>
      </c>
      <c r="P36" s="47">
        <v>35633.286168950297</v>
      </c>
      <c r="Q36" s="47">
        <v>36458.700112011698</v>
      </c>
      <c r="R36" s="47">
        <v>30520.5080338486</v>
      </c>
      <c r="S36" s="57">
        <v>34085.620205619998</v>
      </c>
      <c r="T36" s="47">
        <v>44694.236969793201</v>
      </c>
      <c r="U36" s="47">
        <v>38648.6294896857</v>
      </c>
      <c r="V36" s="47">
        <v>40136.211125408903</v>
      </c>
      <c r="W36" s="47">
        <v>38009.273352096097</v>
      </c>
      <c r="X36" s="47">
        <v>38861.5368094718</v>
      </c>
      <c r="Y36" s="47">
        <v>48395.635844483302</v>
      </c>
      <c r="Z36" s="47">
        <v>26597.4045370807</v>
      </c>
      <c r="AA36" s="47">
        <v>34027.3424921193</v>
      </c>
      <c r="AB36" s="47">
        <v>48727.702068938503</v>
      </c>
      <c r="AC36" s="47">
        <v>46145.027273265398</v>
      </c>
      <c r="AD36" s="47">
        <v>38570.353155533303</v>
      </c>
      <c r="AE36" s="47">
        <v>42911.097464574203</v>
      </c>
      <c r="AF36" s="47">
        <v>42418.184509184597</v>
      </c>
      <c r="AG36" s="47">
        <v>32025.463326730202</v>
      </c>
      <c r="AH36" s="47">
        <v>39502.532531878402</v>
      </c>
      <c r="AI36" s="47">
        <v>32953.185265520297</v>
      </c>
      <c r="AJ36" s="47">
        <v>29306.1022863449</v>
      </c>
      <c r="AK36" s="47">
        <v>38077.052346000302</v>
      </c>
      <c r="AL36" s="47">
        <v>34862.696141476903</v>
      </c>
      <c r="AM36" s="57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ht="15.75" x14ac:dyDescent="0.3">
      <c r="A37" s="5" t="s">
        <v>105</v>
      </c>
      <c r="B37" s="6"/>
      <c r="C37" s="6" t="s">
        <v>106</v>
      </c>
      <c r="D37" s="10" t="s">
        <v>107</v>
      </c>
      <c r="E37" s="8" t="s">
        <v>104</v>
      </c>
      <c r="F37" s="13">
        <v>2022</v>
      </c>
      <c r="G37" s="47">
        <v>78287.885368160103</v>
      </c>
      <c r="H37" s="47">
        <v>88912.223651442604</v>
      </c>
      <c r="I37" s="47">
        <v>91417.117674381196</v>
      </c>
      <c r="J37" s="47">
        <v>57458.385914639599</v>
      </c>
      <c r="K37" s="47">
        <v>75125.833745342301</v>
      </c>
      <c r="L37" s="47">
        <v>69320.7356789482</v>
      </c>
      <c r="M37" s="47">
        <v>39844.829300266501</v>
      </c>
      <c r="N37" s="47">
        <v>81929.177255959294</v>
      </c>
      <c r="O37" s="47">
        <v>89310.267556395906</v>
      </c>
      <c r="P37" s="47">
        <v>57219.926772938998</v>
      </c>
      <c r="Q37" s="47">
        <v>60099.724157809098</v>
      </c>
      <c r="R37" s="47">
        <v>41754.073019572803</v>
      </c>
      <c r="S37" s="57">
        <v>53234.076700168</v>
      </c>
      <c r="T37" s="47">
        <v>71744.435244771594</v>
      </c>
      <c r="U37" s="47">
        <v>57232.551410674001</v>
      </c>
      <c r="V37" s="47">
        <v>56958.7301693595</v>
      </c>
      <c r="W37" s="47">
        <v>57238.609964904601</v>
      </c>
      <c r="X37" s="47">
        <v>65325.6646893984</v>
      </c>
      <c r="Y37" s="47">
        <v>86018.031676871702</v>
      </c>
      <c r="Z37" s="47">
        <v>43342.9273132448</v>
      </c>
      <c r="AA37" s="47">
        <v>49383.583694903602</v>
      </c>
      <c r="AB37" s="47">
        <v>74955.571336639405</v>
      </c>
      <c r="AC37" s="47">
        <v>71902.199986200707</v>
      </c>
      <c r="AD37" s="47">
        <v>60144.295449547899</v>
      </c>
      <c r="AE37" s="47">
        <v>71888.239460289697</v>
      </c>
      <c r="AF37" s="47">
        <v>75270.479783186296</v>
      </c>
      <c r="AG37" s="47">
        <v>52095.421718926598</v>
      </c>
      <c r="AH37" s="47">
        <v>63520.762036509099</v>
      </c>
      <c r="AI37" s="47">
        <v>46294.777004756397</v>
      </c>
      <c r="AJ37" s="47">
        <v>44637.105172565898</v>
      </c>
      <c r="AK37" s="47">
        <v>62371.238034606198</v>
      </c>
      <c r="AL37" s="47">
        <v>50135.510844064898</v>
      </c>
      <c r="AM37" s="57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ht="15.75" x14ac:dyDescent="0.3">
      <c r="A38" s="5" t="s">
        <v>108</v>
      </c>
      <c r="B38" s="6"/>
      <c r="C38" s="6" t="s">
        <v>307</v>
      </c>
      <c r="D38" s="25" t="s">
        <v>109</v>
      </c>
      <c r="E38" s="8" t="s">
        <v>77</v>
      </c>
      <c r="F38" s="13" t="s">
        <v>110</v>
      </c>
      <c r="G38" s="70">
        <v>10</v>
      </c>
      <c r="H38" s="70">
        <v>3</v>
      </c>
      <c r="I38" s="70">
        <v>0</v>
      </c>
      <c r="J38" s="70">
        <v>0</v>
      </c>
      <c r="K38" s="70">
        <v>5</v>
      </c>
      <c r="L38" s="70">
        <v>3</v>
      </c>
      <c r="M38" s="70">
        <v>0</v>
      </c>
      <c r="N38" s="70">
        <v>8</v>
      </c>
      <c r="O38" s="70">
        <v>52</v>
      </c>
      <c r="P38" s="70">
        <v>0</v>
      </c>
      <c r="Q38" s="70">
        <v>11</v>
      </c>
      <c r="R38" s="70">
        <v>0</v>
      </c>
      <c r="S38" s="71">
        <v>10</v>
      </c>
      <c r="T38" s="70">
        <v>49</v>
      </c>
      <c r="U38" s="70">
        <v>12</v>
      </c>
      <c r="V38" s="70">
        <v>9</v>
      </c>
      <c r="W38" s="70">
        <v>4</v>
      </c>
      <c r="X38" s="70">
        <v>0</v>
      </c>
      <c r="Y38" s="70">
        <v>17</v>
      </c>
      <c r="Z38" s="70">
        <v>1</v>
      </c>
      <c r="AA38" s="70">
        <v>13</v>
      </c>
      <c r="AB38" s="70">
        <v>2</v>
      </c>
      <c r="AC38" s="70">
        <v>2</v>
      </c>
      <c r="AD38" s="70">
        <v>5</v>
      </c>
      <c r="AE38" s="70">
        <v>4</v>
      </c>
      <c r="AF38" s="70">
        <v>7</v>
      </c>
      <c r="AG38" s="70">
        <v>1</v>
      </c>
      <c r="AH38" s="70">
        <v>4</v>
      </c>
      <c r="AI38" s="70">
        <v>0</v>
      </c>
      <c r="AJ38" s="70">
        <v>6</v>
      </c>
      <c r="AK38" s="70">
        <v>1</v>
      </c>
      <c r="AL38" s="70">
        <v>2</v>
      </c>
      <c r="AM38" s="57">
        <v>241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ht="15.75" x14ac:dyDescent="0.3">
      <c r="A39" s="5" t="s">
        <v>111</v>
      </c>
      <c r="B39" s="6"/>
      <c r="C39" s="6" t="s">
        <v>112</v>
      </c>
      <c r="D39" s="25" t="s">
        <v>113</v>
      </c>
      <c r="E39" s="8" t="s">
        <v>70</v>
      </c>
      <c r="F39" s="13">
        <v>2024</v>
      </c>
      <c r="G39" s="47">
        <v>121122.68</v>
      </c>
      <c r="H39" s="47">
        <v>138225.56</v>
      </c>
      <c r="I39" s="47">
        <v>39607.089999999997</v>
      </c>
      <c r="J39" s="47">
        <v>328633.83</v>
      </c>
      <c r="K39" s="47">
        <v>215491.44</v>
      </c>
      <c r="L39" s="47">
        <v>173613.13</v>
      </c>
      <c r="M39" s="47">
        <v>1336378.24</v>
      </c>
      <c r="N39" s="47">
        <v>939507.21</v>
      </c>
      <c r="O39" s="47">
        <v>14768.13</v>
      </c>
      <c r="P39" s="47">
        <v>625819.07999999996</v>
      </c>
      <c r="Q39" s="47">
        <v>783885.5</v>
      </c>
      <c r="R39" s="47">
        <v>920816.81</v>
      </c>
      <c r="S39" s="57">
        <v>493471.39</v>
      </c>
      <c r="T39" s="47">
        <v>1601767.57</v>
      </c>
      <c r="U39" s="47">
        <v>741614.47</v>
      </c>
      <c r="V39" s="47">
        <v>1152877.8799999999</v>
      </c>
      <c r="W39" s="47">
        <v>143302.70000000001</v>
      </c>
      <c r="X39" s="47">
        <v>370555.37</v>
      </c>
      <c r="Y39" s="47">
        <v>291647.71000000002</v>
      </c>
      <c r="Z39" s="47">
        <v>1371873.88</v>
      </c>
      <c r="AA39" s="47">
        <v>910546.92</v>
      </c>
      <c r="AB39" s="47">
        <v>113678.51</v>
      </c>
      <c r="AC39" s="47">
        <v>133280.1</v>
      </c>
      <c r="AD39" s="47">
        <v>633377.26</v>
      </c>
      <c r="AE39" s="47">
        <v>767965.57</v>
      </c>
      <c r="AF39" s="47">
        <v>489720.61</v>
      </c>
      <c r="AG39" s="47">
        <v>258582.53</v>
      </c>
      <c r="AH39" s="47">
        <v>1243729.1100000001</v>
      </c>
      <c r="AI39" s="47">
        <v>232832.7</v>
      </c>
      <c r="AJ39" s="47">
        <v>1544259.56</v>
      </c>
      <c r="AK39" s="47">
        <v>697529.91</v>
      </c>
      <c r="AL39" s="47">
        <v>1169410.01</v>
      </c>
      <c r="AM39" s="47">
        <v>20023594.609999999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ht="15.75" x14ac:dyDescent="0.3">
      <c r="A40" s="5" t="s">
        <v>114</v>
      </c>
      <c r="B40" s="6"/>
      <c r="C40" s="6" t="s">
        <v>112</v>
      </c>
      <c r="D40" s="10" t="s">
        <v>113</v>
      </c>
      <c r="E40" s="8" t="s">
        <v>70</v>
      </c>
      <c r="F40" s="13">
        <v>2024</v>
      </c>
      <c r="G40" s="47">
        <v>120829.68</v>
      </c>
      <c r="H40" s="47">
        <v>137743.43</v>
      </c>
      <c r="I40" s="47">
        <v>37512.089999999997</v>
      </c>
      <c r="J40" s="47">
        <v>324366.83</v>
      </c>
      <c r="K40" s="47">
        <v>210731.16</v>
      </c>
      <c r="L40" s="47">
        <v>173344.31</v>
      </c>
      <c r="M40" s="47">
        <v>1323673.0900000001</v>
      </c>
      <c r="N40" s="47">
        <v>831871.33</v>
      </c>
      <c r="O40" s="47">
        <v>14694.12</v>
      </c>
      <c r="P40" s="47">
        <v>496641.3</v>
      </c>
      <c r="Q40" s="47">
        <v>735377</v>
      </c>
      <c r="R40" s="47">
        <v>909814.69</v>
      </c>
      <c r="S40" s="57">
        <v>487323.11</v>
      </c>
      <c r="T40" s="47">
        <v>1472600.18</v>
      </c>
      <c r="U40" s="47">
        <v>740146.8</v>
      </c>
      <c r="V40" s="47">
        <v>1106052.08</v>
      </c>
      <c r="W40" s="47">
        <v>140535.15</v>
      </c>
      <c r="X40" s="47">
        <v>343579.87</v>
      </c>
      <c r="Y40" s="47">
        <v>286497.11</v>
      </c>
      <c r="Z40" s="47">
        <v>1328154.6000000001</v>
      </c>
      <c r="AA40" s="47">
        <v>887067.89</v>
      </c>
      <c r="AB40" s="47">
        <v>108829.75999999999</v>
      </c>
      <c r="AC40" s="47">
        <v>120114.3</v>
      </c>
      <c r="AD40" s="47">
        <v>588416.91</v>
      </c>
      <c r="AE40" s="47">
        <v>739994.52</v>
      </c>
      <c r="AF40" s="47">
        <v>470264.11</v>
      </c>
      <c r="AG40" s="47">
        <v>255538.13</v>
      </c>
      <c r="AH40" s="47">
        <v>1200507.25</v>
      </c>
      <c r="AI40" s="47">
        <v>232663.7</v>
      </c>
      <c r="AJ40" s="47">
        <v>1510394.8</v>
      </c>
      <c r="AK40" s="47">
        <v>697443.66</v>
      </c>
      <c r="AL40" s="47">
        <v>1151877.21</v>
      </c>
      <c r="AM40" s="47">
        <v>18383456.309999999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ht="15.75" x14ac:dyDescent="0.3">
      <c r="A41" s="5" t="s">
        <v>115</v>
      </c>
      <c r="B41" s="6"/>
      <c r="C41" s="6" t="s">
        <v>112</v>
      </c>
      <c r="D41" s="10" t="s">
        <v>113</v>
      </c>
      <c r="E41" s="8" t="s">
        <v>70</v>
      </c>
      <c r="F41" s="13">
        <v>2024</v>
      </c>
      <c r="G41" s="47">
        <v>2623958.19</v>
      </c>
      <c r="H41" s="47">
        <v>2130728.9300000002</v>
      </c>
      <c r="I41" s="47">
        <v>706863.1</v>
      </c>
      <c r="J41" s="47">
        <v>2637500.2000000002</v>
      </c>
      <c r="K41" s="47">
        <v>5016092.07</v>
      </c>
      <c r="L41" s="47">
        <v>3654214.53</v>
      </c>
      <c r="M41" s="47">
        <v>8851404.1300000008</v>
      </c>
      <c r="N41" s="47">
        <v>8732283.6500000004</v>
      </c>
      <c r="O41" s="47">
        <v>18577711.07</v>
      </c>
      <c r="P41" s="47">
        <v>8050127.3700000001</v>
      </c>
      <c r="Q41" s="47">
        <v>10049467.08</v>
      </c>
      <c r="R41" s="47">
        <v>6896073.4800000004</v>
      </c>
      <c r="S41" s="57">
        <v>7243253.1600000001</v>
      </c>
      <c r="T41" s="47">
        <v>85636601.659999996</v>
      </c>
      <c r="U41" s="47">
        <v>62923412.140000001</v>
      </c>
      <c r="V41" s="47">
        <v>24886109.359999999</v>
      </c>
      <c r="W41" s="47">
        <v>15899799.789999999</v>
      </c>
      <c r="X41" s="47">
        <v>113367073.05</v>
      </c>
      <c r="Y41" s="47">
        <v>3552486.42</v>
      </c>
      <c r="Z41" s="47">
        <v>23902714.829999998</v>
      </c>
      <c r="AA41" s="47">
        <v>17413165.530000001</v>
      </c>
      <c r="AB41" s="47">
        <v>2700082.56</v>
      </c>
      <c r="AC41" s="47">
        <v>1987114.01</v>
      </c>
      <c r="AD41" s="47">
        <v>11738974.92</v>
      </c>
      <c r="AE41" s="47">
        <v>8990640.9800000004</v>
      </c>
      <c r="AF41" s="47">
        <v>5813742.7000000002</v>
      </c>
      <c r="AG41" s="47">
        <v>3865887.65</v>
      </c>
      <c r="AH41" s="47">
        <v>7359248.8300000001</v>
      </c>
      <c r="AI41" s="47">
        <v>1435264.42</v>
      </c>
      <c r="AJ41" s="47">
        <v>30900892.18</v>
      </c>
      <c r="AK41" s="47">
        <v>6206122.3499999996</v>
      </c>
      <c r="AL41" s="47">
        <v>8089016.4800000004</v>
      </c>
      <c r="AM41" s="47">
        <v>588574712.88999999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ht="15.75" x14ac:dyDescent="0.3">
      <c r="A42" s="5" t="s">
        <v>116</v>
      </c>
      <c r="B42" s="6"/>
      <c r="C42" s="6" t="s">
        <v>112</v>
      </c>
      <c r="D42" s="10" t="s">
        <v>113</v>
      </c>
      <c r="E42" s="8" t="s">
        <v>70</v>
      </c>
      <c r="F42" s="13">
        <v>2024</v>
      </c>
      <c r="G42" s="47">
        <v>4110539.19</v>
      </c>
      <c r="H42" s="47">
        <v>23699711.550000001</v>
      </c>
      <c r="I42" s="47">
        <v>7540534.25</v>
      </c>
      <c r="J42" s="47">
        <v>8046323.6799999997</v>
      </c>
      <c r="K42" s="47">
        <v>9385513.6500000004</v>
      </c>
      <c r="L42" s="47">
        <v>11351468.720000001</v>
      </c>
      <c r="M42" s="47">
        <v>23207227.550000001</v>
      </c>
      <c r="N42" s="47">
        <v>52707157.119999997</v>
      </c>
      <c r="O42" s="47">
        <v>1852799.54</v>
      </c>
      <c r="P42" s="47">
        <v>13207678.699999999</v>
      </c>
      <c r="Q42" s="47">
        <v>42027286.740000002</v>
      </c>
      <c r="R42" s="47">
        <v>21739227.309999999</v>
      </c>
      <c r="S42" s="57">
        <v>10358176.279999999</v>
      </c>
      <c r="T42" s="47">
        <v>117215952.39</v>
      </c>
      <c r="U42" s="47">
        <v>32534622.460000001</v>
      </c>
      <c r="V42" s="47">
        <v>111333526.42</v>
      </c>
      <c r="W42" s="47">
        <v>11485258.15</v>
      </c>
      <c r="X42" s="47">
        <v>15832694.51</v>
      </c>
      <c r="Y42" s="47">
        <v>5970296.4199999999</v>
      </c>
      <c r="Z42" s="47">
        <v>29178012.469999999</v>
      </c>
      <c r="AA42" s="47">
        <v>27800739</v>
      </c>
      <c r="AB42" s="47">
        <v>5480748.1399999997</v>
      </c>
      <c r="AC42" s="47">
        <v>4141058.47</v>
      </c>
      <c r="AD42" s="47">
        <v>24903848.140000001</v>
      </c>
      <c r="AE42" s="47">
        <v>58818025.770000003</v>
      </c>
      <c r="AF42" s="47">
        <v>53862079.609999999</v>
      </c>
      <c r="AG42" s="47">
        <v>9054777.6899999995</v>
      </c>
      <c r="AH42" s="47">
        <v>21083103.870000001</v>
      </c>
      <c r="AI42" s="47">
        <v>4815194.88</v>
      </c>
      <c r="AJ42" s="47">
        <v>56745287.259999998</v>
      </c>
      <c r="AK42" s="47">
        <v>7426891.6900000004</v>
      </c>
      <c r="AL42" s="47">
        <v>28861466.850000001</v>
      </c>
      <c r="AM42" s="47">
        <v>921877021.78999996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ht="15.75" x14ac:dyDescent="0.3">
      <c r="A43" s="5" t="s">
        <v>117</v>
      </c>
      <c r="B43" s="6"/>
      <c r="C43" s="6" t="s">
        <v>112</v>
      </c>
      <c r="D43" s="7" t="s">
        <v>118</v>
      </c>
      <c r="E43" s="8" t="s">
        <v>70</v>
      </c>
      <c r="F43" s="8">
        <v>2024</v>
      </c>
      <c r="G43" s="47">
        <v>83987.066999999995</v>
      </c>
      <c r="H43" s="47">
        <v>113010.503</v>
      </c>
      <c r="I43" s="47">
        <v>10236.32</v>
      </c>
      <c r="J43" s="47">
        <v>45260.326999999997</v>
      </c>
      <c r="K43" s="47">
        <v>100766.958</v>
      </c>
      <c r="L43" s="47">
        <v>22755.756000000001</v>
      </c>
      <c r="M43" s="47">
        <v>214351.511</v>
      </c>
      <c r="N43" s="47">
        <v>172382.49400000001</v>
      </c>
      <c r="O43" s="47">
        <v>1031.432</v>
      </c>
      <c r="P43" s="47">
        <v>217818.351</v>
      </c>
      <c r="Q43" s="47">
        <v>110217.211</v>
      </c>
      <c r="R43" s="47">
        <v>86735.404999999999</v>
      </c>
      <c r="S43" s="57">
        <v>62636.733999999997</v>
      </c>
      <c r="T43" s="47">
        <v>479139.60499999998</v>
      </c>
      <c r="U43" s="47">
        <v>82797.163</v>
      </c>
      <c r="V43" s="47">
        <v>191658.30300000001</v>
      </c>
      <c r="W43" s="47">
        <v>13545.266</v>
      </c>
      <c r="X43" s="47">
        <v>36345.101000000002</v>
      </c>
      <c r="Y43" s="47">
        <v>134884.81099999999</v>
      </c>
      <c r="Z43" s="47">
        <v>125323.268</v>
      </c>
      <c r="AA43" s="47">
        <v>81942.764999999999</v>
      </c>
      <c r="AB43" s="47">
        <v>148874.209</v>
      </c>
      <c r="AC43" s="47">
        <v>8605.4950000000008</v>
      </c>
      <c r="AD43" s="47">
        <v>235532.67300000001</v>
      </c>
      <c r="AE43" s="47">
        <v>200814.59299999999</v>
      </c>
      <c r="AF43" s="47">
        <v>143225.37100000001</v>
      </c>
      <c r="AG43" s="47">
        <v>146430.11199999999</v>
      </c>
      <c r="AH43" s="47">
        <v>83748.842000000004</v>
      </c>
      <c r="AI43" s="47">
        <v>16514.032999999999</v>
      </c>
      <c r="AJ43" s="47">
        <v>531571.77500000002</v>
      </c>
      <c r="AK43" s="47">
        <v>65079.29</v>
      </c>
      <c r="AL43" s="47">
        <v>88835.854000000007</v>
      </c>
      <c r="AM43" s="68">
        <v>4056058.5980000002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ht="15.75" x14ac:dyDescent="0.3">
      <c r="A44" s="5" t="s">
        <v>119</v>
      </c>
      <c r="B44" s="6"/>
      <c r="C44" s="6" t="s">
        <v>112</v>
      </c>
      <c r="D44" s="7" t="s">
        <v>118</v>
      </c>
      <c r="E44" s="8" t="s">
        <v>70</v>
      </c>
      <c r="F44" s="8">
        <v>2024</v>
      </c>
      <c r="G44" s="47">
        <v>3977412.6579999998</v>
      </c>
      <c r="H44" s="47">
        <v>6041750.1059999997</v>
      </c>
      <c r="I44" s="47">
        <v>396660.61300000001</v>
      </c>
      <c r="J44" s="47">
        <v>1697213.18</v>
      </c>
      <c r="K44" s="47">
        <v>3803524.477</v>
      </c>
      <c r="L44" s="47">
        <v>952819.89199999999</v>
      </c>
      <c r="M44" s="47">
        <v>7469665.9749999996</v>
      </c>
      <c r="N44" s="47">
        <v>7630124.5190000003</v>
      </c>
      <c r="O44" s="47">
        <v>47734.885999999999</v>
      </c>
      <c r="P44" s="47">
        <v>8459736.1490000002</v>
      </c>
      <c r="Q44" s="47">
        <v>4724786.1430000002</v>
      </c>
      <c r="R44" s="47">
        <v>3115015.696</v>
      </c>
      <c r="S44" s="57">
        <v>2421808.8640000001</v>
      </c>
      <c r="T44" s="47">
        <v>22013227.377</v>
      </c>
      <c r="U44" s="47">
        <v>3830149.22</v>
      </c>
      <c r="V44" s="47">
        <v>7434468.2630000003</v>
      </c>
      <c r="W44" s="47">
        <v>532034.49600000004</v>
      </c>
      <c r="X44" s="47">
        <v>1469806.4</v>
      </c>
      <c r="Y44" s="47">
        <v>6859040.818</v>
      </c>
      <c r="Z44" s="47">
        <v>4616794.7379999999</v>
      </c>
      <c r="AA44" s="47">
        <v>2700484.182</v>
      </c>
      <c r="AB44" s="47">
        <v>6982418.2419999996</v>
      </c>
      <c r="AC44" s="47">
        <v>355150.71600000001</v>
      </c>
      <c r="AD44" s="47">
        <v>10075031.694</v>
      </c>
      <c r="AE44" s="47">
        <v>7871076.6059999997</v>
      </c>
      <c r="AF44" s="47">
        <v>7017260.4919999996</v>
      </c>
      <c r="AG44" s="47">
        <v>6320240.7439999999</v>
      </c>
      <c r="AH44" s="47">
        <v>3551158.5109999999</v>
      </c>
      <c r="AI44" s="47">
        <v>708775.14</v>
      </c>
      <c r="AJ44" s="47">
        <v>19793782.024</v>
      </c>
      <c r="AK44" s="47">
        <v>2564544.1860000002</v>
      </c>
      <c r="AL44" s="47">
        <v>3689369.159</v>
      </c>
      <c r="AM44" s="68">
        <v>169123066.16600001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ht="15.75" x14ac:dyDescent="0.3">
      <c r="A45" s="5" t="s">
        <v>120</v>
      </c>
      <c r="B45" s="6"/>
      <c r="C45" s="6" t="s">
        <v>112</v>
      </c>
      <c r="D45" s="7" t="s">
        <v>118</v>
      </c>
      <c r="E45" s="8" t="s">
        <v>70</v>
      </c>
      <c r="F45" s="8">
        <v>2024</v>
      </c>
      <c r="G45" s="47">
        <v>25460.506000000001</v>
      </c>
      <c r="H45" s="47">
        <v>1469.25</v>
      </c>
      <c r="I45" s="47">
        <v>1506.742</v>
      </c>
      <c r="J45" s="47">
        <v>7916.9229999999998</v>
      </c>
      <c r="K45" s="47">
        <v>7672.5950000000003</v>
      </c>
      <c r="L45" s="47">
        <v>10365.763999999999</v>
      </c>
      <c r="M45" s="47">
        <v>43363.618000000002</v>
      </c>
      <c r="N45" s="47">
        <v>11163.39</v>
      </c>
      <c r="O45" s="47">
        <v>2031.4490000000001</v>
      </c>
      <c r="P45" s="47">
        <v>5732.0410000000002</v>
      </c>
      <c r="Q45" s="47">
        <v>179482.087</v>
      </c>
      <c r="R45" s="47">
        <v>29812.508000000002</v>
      </c>
      <c r="S45" s="57">
        <v>21127.411</v>
      </c>
      <c r="T45" s="47">
        <v>539930.56599999999</v>
      </c>
      <c r="U45" s="47">
        <v>29826.803</v>
      </c>
      <c r="V45" s="47">
        <v>70095.78</v>
      </c>
      <c r="W45" s="47">
        <v>7241.9889999999996</v>
      </c>
      <c r="X45" s="47">
        <v>6694.3410000000003</v>
      </c>
      <c r="Y45" s="47">
        <v>26397.438999999998</v>
      </c>
      <c r="Z45" s="47">
        <v>39840.635999999999</v>
      </c>
      <c r="AA45" s="47">
        <v>243015.65700000001</v>
      </c>
      <c r="AB45" s="47">
        <v>35490.919000000002</v>
      </c>
      <c r="AC45" s="47">
        <v>5146.7330000000002</v>
      </c>
      <c r="AD45" s="47">
        <v>34143.103000000003</v>
      </c>
      <c r="AE45" s="47">
        <v>26040.232</v>
      </c>
      <c r="AF45" s="47">
        <v>396827.66399999999</v>
      </c>
      <c r="AG45" s="47">
        <v>18653.275000000001</v>
      </c>
      <c r="AH45" s="47">
        <v>13638.013999999999</v>
      </c>
      <c r="AI45" s="47">
        <v>17239.545999999998</v>
      </c>
      <c r="AJ45" s="47">
        <v>209854.65100000001</v>
      </c>
      <c r="AK45" s="47">
        <v>301725.516</v>
      </c>
      <c r="AL45" s="47">
        <v>14091.995000000001</v>
      </c>
      <c r="AM45" s="68">
        <v>2382999.1430000002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ht="15.75" x14ac:dyDescent="0.3">
      <c r="A46" s="5" t="s">
        <v>121</v>
      </c>
      <c r="B46" s="6"/>
      <c r="C46" s="6" t="s">
        <v>112</v>
      </c>
      <c r="D46" s="7" t="s">
        <v>118</v>
      </c>
      <c r="E46" s="8" t="s">
        <v>70</v>
      </c>
      <c r="F46" s="8">
        <v>2024</v>
      </c>
      <c r="G46" s="47">
        <v>935035.06599999999</v>
      </c>
      <c r="H46" s="47">
        <v>52825.567999999999</v>
      </c>
      <c r="I46" s="47">
        <v>51286.62</v>
      </c>
      <c r="J46" s="47">
        <v>306799.96999999997</v>
      </c>
      <c r="K46" s="47">
        <v>282895.424</v>
      </c>
      <c r="L46" s="47">
        <v>387612.85600000003</v>
      </c>
      <c r="M46" s="47">
        <v>1657303.1440000001</v>
      </c>
      <c r="N46" s="47">
        <v>399106.35499999998</v>
      </c>
      <c r="O46" s="47">
        <v>75106.520999999993</v>
      </c>
      <c r="P46" s="47">
        <v>207187.86499999999</v>
      </c>
      <c r="Q46" s="47">
        <v>6863182.1100000003</v>
      </c>
      <c r="R46" s="47">
        <v>1088253.7520000001</v>
      </c>
      <c r="S46" s="57">
        <v>792780.98300000001</v>
      </c>
      <c r="T46" s="47">
        <v>20304204.824999999</v>
      </c>
      <c r="U46" s="47">
        <v>1150301.0349999999</v>
      </c>
      <c r="V46" s="47">
        <v>2605803.0759999999</v>
      </c>
      <c r="W46" s="47">
        <v>271269.47499999998</v>
      </c>
      <c r="X46" s="47">
        <v>248484.37100000001</v>
      </c>
      <c r="Y46" s="47">
        <v>973525.20799999998</v>
      </c>
      <c r="Z46" s="47">
        <v>1467252.4639999999</v>
      </c>
      <c r="AA46" s="47">
        <v>9334526.432</v>
      </c>
      <c r="AB46" s="47">
        <v>1371264.8389999999</v>
      </c>
      <c r="AC46" s="47">
        <v>188837.85</v>
      </c>
      <c r="AD46" s="47">
        <v>1289695.9010000001</v>
      </c>
      <c r="AE46" s="47">
        <v>907566.18200000003</v>
      </c>
      <c r="AF46" s="47">
        <v>13977391.289999999</v>
      </c>
      <c r="AG46" s="47">
        <v>694563.60900000005</v>
      </c>
      <c r="AH46" s="47">
        <v>506938.34499999997</v>
      </c>
      <c r="AI46" s="47">
        <v>658389.59499999997</v>
      </c>
      <c r="AJ46" s="47">
        <v>8225412.6320000002</v>
      </c>
      <c r="AK46" s="47">
        <v>11886318.786</v>
      </c>
      <c r="AL46" s="47">
        <v>545392.96299999999</v>
      </c>
      <c r="AM46" s="68">
        <v>89706515.112000003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ht="15.75" x14ac:dyDescent="0.3">
      <c r="A47" s="5" t="s">
        <v>122</v>
      </c>
      <c r="B47" s="6"/>
      <c r="C47" s="6" t="s">
        <v>112</v>
      </c>
      <c r="D47" s="7" t="s">
        <v>118</v>
      </c>
      <c r="E47" s="8" t="s">
        <v>70</v>
      </c>
      <c r="F47" s="8">
        <v>2024</v>
      </c>
      <c r="G47" s="47">
        <v>1655.912</v>
      </c>
      <c r="H47" s="47">
        <v>580.91999999999996</v>
      </c>
      <c r="I47" s="47">
        <v>448.67399999999998</v>
      </c>
      <c r="J47" s="47">
        <v>3364.4360000000001</v>
      </c>
      <c r="K47" s="47">
        <v>1390.8330000000001</v>
      </c>
      <c r="L47" s="47">
        <v>219.75</v>
      </c>
      <c r="M47" s="47">
        <v>3840.55</v>
      </c>
      <c r="N47" s="47">
        <v>3157.1239999999998</v>
      </c>
      <c r="O47" s="47">
        <v>411.67899999999997</v>
      </c>
      <c r="P47" s="47">
        <v>934.16899999999998</v>
      </c>
      <c r="Q47" s="47">
        <v>4632.0169999999998</v>
      </c>
      <c r="R47" s="47">
        <v>2928.2739999999999</v>
      </c>
      <c r="S47" s="57">
        <v>13730.458000000001</v>
      </c>
      <c r="T47" s="47">
        <v>10378.121999999999</v>
      </c>
      <c r="U47" s="47">
        <v>18489.705000000002</v>
      </c>
      <c r="V47" s="47">
        <v>3676.672</v>
      </c>
      <c r="W47" s="47">
        <v>1435.6990000000001</v>
      </c>
      <c r="X47" s="47">
        <v>487.44400000000002</v>
      </c>
      <c r="Y47" s="47">
        <v>3646.4989999999998</v>
      </c>
      <c r="Z47" s="47">
        <v>5049.6180000000004</v>
      </c>
      <c r="AA47" s="47">
        <v>8657.3539999999994</v>
      </c>
      <c r="AB47" s="47">
        <v>2153.0940000000001</v>
      </c>
      <c r="AC47" s="47">
        <v>995.86900000000003</v>
      </c>
      <c r="AD47" s="47">
        <v>5782.7449999999999</v>
      </c>
      <c r="AE47" s="47">
        <v>2401.0030000000002</v>
      </c>
      <c r="AF47" s="47">
        <v>1065.704</v>
      </c>
      <c r="AG47" s="47">
        <v>668.01099999999997</v>
      </c>
      <c r="AH47" s="47">
        <v>2827.788</v>
      </c>
      <c r="AI47" s="47">
        <v>6187.2280000000001</v>
      </c>
      <c r="AJ47" s="47">
        <v>11942.439</v>
      </c>
      <c r="AK47" s="47">
        <v>2178.9340000000002</v>
      </c>
      <c r="AL47" s="47">
        <v>8583.9719999999998</v>
      </c>
      <c r="AM47" s="68">
        <v>133902.696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ht="15.75" x14ac:dyDescent="0.3">
      <c r="A48" s="5" t="s">
        <v>123</v>
      </c>
      <c r="B48" s="6"/>
      <c r="C48" s="6" t="s">
        <v>112</v>
      </c>
      <c r="D48" s="7" t="s">
        <v>118</v>
      </c>
      <c r="E48" s="8" t="s">
        <v>70</v>
      </c>
      <c r="F48" s="8">
        <v>2024</v>
      </c>
      <c r="G48" s="47">
        <v>73644.410999999993</v>
      </c>
      <c r="H48" s="47">
        <v>26093.307000000001</v>
      </c>
      <c r="I48" s="47">
        <v>18981.591</v>
      </c>
      <c r="J48" s="47">
        <v>146209.065</v>
      </c>
      <c r="K48" s="47">
        <v>57158.735999999997</v>
      </c>
      <c r="L48" s="47">
        <v>9584.1540000000005</v>
      </c>
      <c r="M48" s="47">
        <v>165342.83199999999</v>
      </c>
      <c r="N48" s="47">
        <v>133446.054</v>
      </c>
      <c r="O48" s="47">
        <v>22173.144</v>
      </c>
      <c r="P48" s="47">
        <v>37969.81</v>
      </c>
      <c r="Q48" s="47">
        <v>213327.65</v>
      </c>
      <c r="R48" s="47">
        <v>125825.819</v>
      </c>
      <c r="S48" s="57">
        <v>702253.68200000003</v>
      </c>
      <c r="T48" s="47">
        <v>536779.57299999997</v>
      </c>
      <c r="U48" s="47">
        <v>947751.01699999999</v>
      </c>
      <c r="V48" s="47">
        <v>160987.48499999999</v>
      </c>
      <c r="W48" s="47">
        <v>62805.817000000003</v>
      </c>
      <c r="X48" s="47">
        <v>20267.071</v>
      </c>
      <c r="Y48" s="47">
        <v>162822.52799999999</v>
      </c>
      <c r="Z48" s="47">
        <v>216067.473</v>
      </c>
      <c r="AA48" s="47">
        <v>360989.83</v>
      </c>
      <c r="AB48" s="47">
        <v>113347.52099999999</v>
      </c>
      <c r="AC48" s="47">
        <v>47197.133999999998</v>
      </c>
      <c r="AD48" s="47">
        <v>256143.53200000001</v>
      </c>
      <c r="AE48" s="47">
        <v>98756.362999999998</v>
      </c>
      <c r="AF48" s="47">
        <v>45287.512000000002</v>
      </c>
      <c r="AG48" s="47">
        <v>30476.184000000001</v>
      </c>
      <c r="AH48" s="47">
        <v>122066.034</v>
      </c>
      <c r="AI48" s="47">
        <v>317927.98800000001</v>
      </c>
      <c r="AJ48" s="47">
        <v>509024.04</v>
      </c>
      <c r="AK48" s="47">
        <v>92690.038</v>
      </c>
      <c r="AL48" s="47">
        <v>375322.99300000002</v>
      </c>
      <c r="AM48" s="68">
        <v>6208720.3880000003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ht="15.75" x14ac:dyDescent="0.3">
      <c r="A49" s="5" t="s">
        <v>124</v>
      </c>
      <c r="B49" s="6"/>
      <c r="C49" s="6" t="s">
        <v>112</v>
      </c>
      <c r="D49" s="7" t="s">
        <v>118</v>
      </c>
      <c r="E49" s="8" t="s">
        <v>70</v>
      </c>
      <c r="F49" s="8">
        <v>2024</v>
      </c>
      <c r="G49" s="47">
        <v>321.61399999999998</v>
      </c>
      <c r="H49" s="47">
        <v>406.89100000000002</v>
      </c>
      <c r="I49" s="47">
        <v>884.78599999999994</v>
      </c>
      <c r="J49" s="47">
        <v>82.492000000000004</v>
      </c>
      <c r="K49" s="47">
        <v>7748.5050000000001</v>
      </c>
      <c r="L49" s="47">
        <v>128.142</v>
      </c>
      <c r="M49" s="47"/>
      <c r="N49" s="47">
        <v>1261.1949999999999</v>
      </c>
      <c r="O49" s="47"/>
      <c r="P49" s="47">
        <v>1808.433</v>
      </c>
      <c r="Q49" s="47">
        <v>2864.076</v>
      </c>
      <c r="R49" s="47">
        <v>7485.7650000000003</v>
      </c>
      <c r="S49" s="57">
        <v>1545.241</v>
      </c>
      <c r="T49" s="47">
        <v>4056.0309999999999</v>
      </c>
      <c r="U49" s="47">
        <v>891.63099999999997</v>
      </c>
      <c r="V49" s="47">
        <v>5221.018</v>
      </c>
      <c r="W49" s="47">
        <v>1350.616</v>
      </c>
      <c r="X49" s="47">
        <v>257.51900000000001</v>
      </c>
      <c r="Y49" s="47">
        <v>3157.42</v>
      </c>
      <c r="Z49" s="47">
        <v>7372.1369999999997</v>
      </c>
      <c r="AA49" s="47">
        <v>7763.7520000000004</v>
      </c>
      <c r="AB49" s="47">
        <v>350.16899999999998</v>
      </c>
      <c r="AC49" s="47">
        <v>49.228000000000002</v>
      </c>
      <c r="AD49" s="47">
        <v>8321.0589999999993</v>
      </c>
      <c r="AE49" s="47">
        <v>2217.9569999999999</v>
      </c>
      <c r="AF49" s="47">
        <v>569.01400000000001</v>
      </c>
      <c r="AG49" s="47"/>
      <c r="AH49" s="47">
        <v>2961.701</v>
      </c>
      <c r="AI49" s="47">
        <v>689.55200000000002</v>
      </c>
      <c r="AJ49" s="47">
        <v>1413.88</v>
      </c>
      <c r="AK49" s="47">
        <v>16.625</v>
      </c>
      <c r="AL49" s="47">
        <v>8620.9860000000008</v>
      </c>
      <c r="AM49" s="68">
        <v>79817.434999999998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ht="15.75" x14ac:dyDescent="0.3">
      <c r="A50" s="5" t="s">
        <v>125</v>
      </c>
      <c r="B50" s="6"/>
      <c r="C50" s="6" t="s">
        <v>112</v>
      </c>
      <c r="D50" s="7" t="s">
        <v>118</v>
      </c>
      <c r="E50" s="8" t="s">
        <v>70</v>
      </c>
      <c r="F50" s="8">
        <v>2024</v>
      </c>
      <c r="G50" s="47">
        <v>12566.501</v>
      </c>
      <c r="H50" s="47">
        <v>16461.578000000001</v>
      </c>
      <c r="I50" s="47">
        <v>30413.057000000001</v>
      </c>
      <c r="J50" s="47">
        <v>2769.2489999999998</v>
      </c>
      <c r="K50" s="47">
        <v>276774.76799999998</v>
      </c>
      <c r="L50" s="47">
        <v>5315.799</v>
      </c>
      <c r="M50" s="47"/>
      <c r="N50" s="47">
        <v>42995.167000000001</v>
      </c>
      <c r="O50" s="47"/>
      <c r="P50" s="47">
        <v>62376.430999999997</v>
      </c>
      <c r="Q50" s="47">
        <v>124212.41899999999</v>
      </c>
      <c r="R50" s="47">
        <v>267627.69099999999</v>
      </c>
      <c r="S50" s="57">
        <v>59095.031000000003</v>
      </c>
      <c r="T50" s="47">
        <v>167866.78200000001</v>
      </c>
      <c r="U50" s="47">
        <v>34768.050000000003</v>
      </c>
      <c r="V50" s="47">
        <v>190063.80300000001</v>
      </c>
      <c r="W50" s="47">
        <v>52403.300999999999</v>
      </c>
      <c r="X50" s="47">
        <v>9280.6219999999994</v>
      </c>
      <c r="Y50" s="47">
        <v>182444.43299999999</v>
      </c>
      <c r="Z50" s="47">
        <v>270484.28399999999</v>
      </c>
      <c r="AA50" s="47">
        <v>253516.76500000001</v>
      </c>
      <c r="AB50" s="47">
        <v>13734.085999999999</v>
      </c>
      <c r="AC50" s="47">
        <v>2058.0949999999998</v>
      </c>
      <c r="AD50" s="47">
        <v>309125.62800000003</v>
      </c>
      <c r="AE50" s="47">
        <v>81693.853000000003</v>
      </c>
      <c r="AF50" s="47">
        <v>21462.067999999999</v>
      </c>
      <c r="AG50" s="47"/>
      <c r="AH50" s="47">
        <v>107823.469</v>
      </c>
      <c r="AI50" s="47">
        <v>28437.317999999999</v>
      </c>
      <c r="AJ50" s="47">
        <v>48754.033000000003</v>
      </c>
      <c r="AK50" s="47">
        <v>607.12900000000002</v>
      </c>
      <c r="AL50" s="47">
        <v>322775.20400000003</v>
      </c>
      <c r="AM50" s="68">
        <v>2997906.6140000001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ht="15.75" x14ac:dyDescent="0.3">
      <c r="A51" s="5" t="s">
        <v>126</v>
      </c>
      <c r="B51" s="6"/>
      <c r="C51" s="6" t="s">
        <v>112</v>
      </c>
      <c r="D51" s="7" t="s">
        <v>118</v>
      </c>
      <c r="E51" s="8" t="s">
        <v>70</v>
      </c>
      <c r="F51" s="8">
        <v>2024</v>
      </c>
      <c r="G51" s="47">
        <v>569602.85199999996</v>
      </c>
      <c r="H51" s="47">
        <v>1516.2439999999999</v>
      </c>
      <c r="I51" s="47">
        <v>1013.582</v>
      </c>
      <c r="J51" s="47">
        <v>31064.326000000001</v>
      </c>
      <c r="K51" s="47">
        <v>124287.52099999999</v>
      </c>
      <c r="L51" s="47">
        <v>17910.633999999998</v>
      </c>
      <c r="M51" s="47">
        <v>326266.34899999999</v>
      </c>
      <c r="N51" s="47">
        <v>4243.2030000000004</v>
      </c>
      <c r="O51" s="47">
        <v>66.102000000000004</v>
      </c>
      <c r="P51" s="47">
        <v>369664.44400000002</v>
      </c>
      <c r="Q51" s="47">
        <v>293865.06</v>
      </c>
      <c r="R51" s="47">
        <v>15446.762000000001</v>
      </c>
      <c r="S51" s="57">
        <v>121954.53599999999</v>
      </c>
      <c r="T51" s="47">
        <v>597135.39500000002</v>
      </c>
      <c r="U51" s="47">
        <v>156159.25899999999</v>
      </c>
      <c r="V51" s="47">
        <v>97481.27</v>
      </c>
      <c r="W51" s="47">
        <v>94551.553</v>
      </c>
      <c r="X51" s="47">
        <v>52692.017</v>
      </c>
      <c r="Y51" s="47">
        <v>105096.777</v>
      </c>
      <c r="Z51" s="47">
        <v>17758.317999999999</v>
      </c>
      <c r="AA51" s="47">
        <v>279147.01899999997</v>
      </c>
      <c r="AB51" s="47">
        <v>504697.51699999999</v>
      </c>
      <c r="AC51" s="47">
        <v>8880.8220000000001</v>
      </c>
      <c r="AD51" s="47">
        <v>143899.00099999999</v>
      </c>
      <c r="AE51" s="47">
        <v>198661.31400000001</v>
      </c>
      <c r="AF51" s="47">
        <v>58832.345000000001</v>
      </c>
      <c r="AG51" s="47">
        <v>29249.08</v>
      </c>
      <c r="AH51" s="47">
        <v>565.99699999999996</v>
      </c>
      <c r="AI51" s="47">
        <v>1086.375</v>
      </c>
      <c r="AJ51" s="47">
        <v>715526.74300000002</v>
      </c>
      <c r="AK51" s="47">
        <v>243420.07500000001</v>
      </c>
      <c r="AL51" s="47">
        <v>4046.1419999999998</v>
      </c>
      <c r="AM51" s="68">
        <v>5185788.6339999996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ht="15.75" x14ac:dyDescent="0.3">
      <c r="A52" s="5" t="s">
        <v>127</v>
      </c>
      <c r="B52" s="6"/>
      <c r="C52" s="6" t="s">
        <v>112</v>
      </c>
      <c r="D52" s="7" t="s">
        <v>118</v>
      </c>
      <c r="E52" s="8" t="s">
        <v>70</v>
      </c>
      <c r="F52" s="8">
        <v>2024</v>
      </c>
      <c r="G52" s="47">
        <v>17388077.914000001</v>
      </c>
      <c r="H52" s="47">
        <v>40902.165000000001</v>
      </c>
      <c r="I52" s="47">
        <v>35988.779000000002</v>
      </c>
      <c r="J52" s="47">
        <v>976346.15399999998</v>
      </c>
      <c r="K52" s="47">
        <v>3268356.0320000001</v>
      </c>
      <c r="L52" s="47">
        <v>544306.04200000002</v>
      </c>
      <c r="M52" s="47">
        <v>10016504.116</v>
      </c>
      <c r="N52" s="47">
        <v>117252.59600000001</v>
      </c>
      <c r="O52" s="47">
        <v>2365.8980000000001</v>
      </c>
      <c r="P52" s="47">
        <v>10536211.276000001</v>
      </c>
      <c r="Q52" s="47">
        <v>8780850.5120000001</v>
      </c>
      <c r="R52" s="47">
        <v>523840.41</v>
      </c>
      <c r="S52" s="57">
        <v>3679621.9720000001</v>
      </c>
      <c r="T52" s="47">
        <v>16684938.275</v>
      </c>
      <c r="U52" s="47">
        <v>5247464.53</v>
      </c>
      <c r="V52" s="47">
        <v>2532447.8130000001</v>
      </c>
      <c r="W52" s="47">
        <v>2999502.0780000002</v>
      </c>
      <c r="X52" s="47">
        <v>1494741.89</v>
      </c>
      <c r="Y52" s="47">
        <v>3048891.8029999998</v>
      </c>
      <c r="Z52" s="47">
        <v>503976.99400000001</v>
      </c>
      <c r="AA52" s="47">
        <v>7371690.5360000003</v>
      </c>
      <c r="AB52" s="47">
        <v>16052153.384</v>
      </c>
      <c r="AC52" s="47">
        <v>325452.79300000001</v>
      </c>
      <c r="AD52" s="47">
        <v>4193672.91</v>
      </c>
      <c r="AE52" s="47">
        <v>5762252.1689999998</v>
      </c>
      <c r="AF52" s="47">
        <v>1678449.9779999999</v>
      </c>
      <c r="AG52" s="47">
        <v>999042.87899999996</v>
      </c>
      <c r="AH52" s="47">
        <v>15446.001</v>
      </c>
      <c r="AI52" s="47">
        <v>35687.826000000001</v>
      </c>
      <c r="AJ52" s="47">
        <v>21430251.265000001</v>
      </c>
      <c r="AK52" s="47">
        <v>8022069.3219999997</v>
      </c>
      <c r="AL52" s="47">
        <v>131667.42800000001</v>
      </c>
      <c r="AM52" s="68">
        <v>154440423.74000001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ht="15.75" x14ac:dyDescent="0.3">
      <c r="A53" s="5" t="s">
        <v>128</v>
      </c>
      <c r="B53" s="6"/>
      <c r="C53" s="6" t="s">
        <v>112</v>
      </c>
      <c r="D53" s="7" t="s">
        <v>118</v>
      </c>
      <c r="E53" s="8" t="s">
        <v>70</v>
      </c>
      <c r="F53" s="8">
        <v>2024</v>
      </c>
      <c r="G53" s="47">
        <v>0</v>
      </c>
      <c r="H53" s="47">
        <v>0</v>
      </c>
      <c r="I53" s="47">
        <v>0</v>
      </c>
      <c r="J53" s="47">
        <v>1056.3520000000001</v>
      </c>
      <c r="K53" s="47">
        <v>0</v>
      </c>
      <c r="L53" s="47">
        <v>5.4160000000000004</v>
      </c>
      <c r="M53" s="47">
        <v>1357.6780000000001</v>
      </c>
      <c r="N53" s="47">
        <v>1139.3920000000001</v>
      </c>
      <c r="O53" s="47">
        <v>0</v>
      </c>
      <c r="P53" s="47">
        <v>0</v>
      </c>
      <c r="Q53" s="47">
        <v>0</v>
      </c>
      <c r="R53" s="47">
        <v>1340.837</v>
      </c>
      <c r="S53" s="57">
        <v>1478.8579999999999</v>
      </c>
      <c r="T53" s="47">
        <v>0</v>
      </c>
      <c r="U53" s="47">
        <v>3105.2809999999999</v>
      </c>
      <c r="V53" s="47">
        <v>187.12</v>
      </c>
      <c r="W53" s="47">
        <v>0</v>
      </c>
      <c r="X53" s="47">
        <v>0</v>
      </c>
      <c r="Y53" s="47">
        <v>0</v>
      </c>
      <c r="Z53" s="47">
        <v>825.22699999999998</v>
      </c>
      <c r="AA53" s="47">
        <v>3733.989</v>
      </c>
      <c r="AB53" s="47">
        <v>104.34699999999999</v>
      </c>
      <c r="AC53" s="47">
        <v>183.74100000000001</v>
      </c>
      <c r="AD53" s="47">
        <v>176.43</v>
      </c>
      <c r="AE53" s="47">
        <v>0</v>
      </c>
      <c r="AF53" s="47">
        <v>0</v>
      </c>
      <c r="AG53" s="47">
        <v>1791.6279999999999</v>
      </c>
      <c r="AH53" s="47">
        <v>0</v>
      </c>
      <c r="AI53" s="47">
        <v>486.13600000000002</v>
      </c>
      <c r="AJ53" s="47">
        <v>1976.6669999999999</v>
      </c>
      <c r="AK53" s="47">
        <v>6590.0640000000003</v>
      </c>
      <c r="AL53" s="47">
        <v>37.682000000000002</v>
      </c>
      <c r="AM53" s="68">
        <v>25576.845000000001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ht="15.75" x14ac:dyDescent="0.3">
      <c r="A54" s="5" t="s">
        <v>129</v>
      </c>
      <c r="B54" s="6"/>
      <c r="C54" s="6" t="s">
        <v>112</v>
      </c>
      <c r="D54" s="7" t="s">
        <v>118</v>
      </c>
      <c r="E54" s="8" t="s">
        <v>70</v>
      </c>
      <c r="F54" s="8">
        <v>2024</v>
      </c>
      <c r="G54" s="47">
        <v>0</v>
      </c>
      <c r="H54" s="47">
        <v>0</v>
      </c>
      <c r="I54" s="47">
        <v>0</v>
      </c>
      <c r="J54" s="47">
        <v>45429.108999999997</v>
      </c>
      <c r="K54" s="47">
        <v>0</v>
      </c>
      <c r="L54" s="47">
        <v>186.92599999999999</v>
      </c>
      <c r="M54" s="47">
        <v>72182.828999999998</v>
      </c>
      <c r="N54" s="47">
        <v>58667.976999999999</v>
      </c>
      <c r="O54" s="47">
        <v>0</v>
      </c>
      <c r="P54" s="47">
        <v>0</v>
      </c>
      <c r="Q54" s="47">
        <v>0</v>
      </c>
      <c r="R54" s="47">
        <v>57325.726000000002</v>
      </c>
      <c r="S54" s="57">
        <v>62265.612999999998</v>
      </c>
      <c r="T54" s="47">
        <v>0</v>
      </c>
      <c r="U54" s="47">
        <v>139898.723</v>
      </c>
      <c r="V54" s="47">
        <v>5934.5559999999996</v>
      </c>
      <c r="W54" s="47">
        <v>0</v>
      </c>
      <c r="X54" s="47">
        <v>0</v>
      </c>
      <c r="Y54" s="47">
        <v>0</v>
      </c>
      <c r="Z54" s="47">
        <v>38966.309000000001</v>
      </c>
      <c r="AA54" s="47">
        <v>144754.05799999999</v>
      </c>
      <c r="AB54" s="47">
        <v>3628.1840000000002</v>
      </c>
      <c r="AC54" s="47">
        <v>10316.929</v>
      </c>
      <c r="AD54" s="47">
        <v>5677.4070000000002</v>
      </c>
      <c r="AE54" s="47">
        <v>0</v>
      </c>
      <c r="AF54" s="47">
        <v>0</v>
      </c>
      <c r="AG54" s="47">
        <v>89075.308000000005</v>
      </c>
      <c r="AH54" s="47">
        <v>0</v>
      </c>
      <c r="AI54" s="47">
        <v>24716.902999999998</v>
      </c>
      <c r="AJ54" s="47">
        <v>94737.255999999994</v>
      </c>
      <c r="AK54" s="47">
        <v>330562.28600000002</v>
      </c>
      <c r="AL54" s="47">
        <v>1337.991</v>
      </c>
      <c r="AM54" s="68">
        <v>1185664.0900000001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 ht="15.75" x14ac:dyDescent="0.3">
      <c r="A55" s="5" t="s">
        <v>130</v>
      </c>
      <c r="B55" s="6"/>
      <c r="C55" s="6" t="s">
        <v>112</v>
      </c>
      <c r="D55" s="7" t="s">
        <v>118</v>
      </c>
      <c r="E55" s="8" t="s">
        <v>70</v>
      </c>
      <c r="F55" s="8">
        <v>2024</v>
      </c>
      <c r="G55" s="47">
        <v>447429.34499999997</v>
      </c>
      <c r="H55" s="47">
        <v>215544.34400000001</v>
      </c>
      <c r="I55" s="47">
        <v>35987.908000000003</v>
      </c>
      <c r="J55" s="47">
        <v>46869.911</v>
      </c>
      <c r="K55" s="47">
        <v>1571043.8940000001</v>
      </c>
      <c r="L55" s="47">
        <v>47413.478999999999</v>
      </c>
      <c r="M55" s="47">
        <v>472057.451</v>
      </c>
      <c r="N55" s="47">
        <v>1278394.2660000001</v>
      </c>
      <c r="O55" s="47">
        <v>11383.438</v>
      </c>
      <c r="P55" s="47">
        <v>1547866.487</v>
      </c>
      <c r="Q55" s="47">
        <v>928685.005</v>
      </c>
      <c r="R55" s="47">
        <v>92238.126000000004</v>
      </c>
      <c r="S55" s="57">
        <v>436925.53</v>
      </c>
      <c r="T55" s="47">
        <v>2845110.2940000002</v>
      </c>
      <c r="U55" s="47">
        <v>440904.18900000001</v>
      </c>
      <c r="V55" s="47">
        <v>389144.65899999999</v>
      </c>
      <c r="W55" s="47">
        <v>22357.499</v>
      </c>
      <c r="X55" s="47">
        <v>40213.449999999997</v>
      </c>
      <c r="Y55" s="47">
        <v>16962.319</v>
      </c>
      <c r="Z55" s="47">
        <v>152515.13699999999</v>
      </c>
      <c r="AA55" s="47">
        <v>470562.79</v>
      </c>
      <c r="AB55" s="47">
        <v>427887.12</v>
      </c>
      <c r="AC55" s="47">
        <v>6644.1239999999998</v>
      </c>
      <c r="AD55" s="47">
        <v>159418.04699999999</v>
      </c>
      <c r="AE55" s="47">
        <v>99795.096000000005</v>
      </c>
      <c r="AF55" s="47">
        <v>114347.284</v>
      </c>
      <c r="AG55" s="47">
        <v>107664.217</v>
      </c>
      <c r="AH55" s="47">
        <v>22016.082999999999</v>
      </c>
      <c r="AI55" s="47">
        <v>85395.248999999996</v>
      </c>
      <c r="AJ55" s="47">
        <v>820691.19900000002</v>
      </c>
      <c r="AK55" s="47">
        <v>2306.114</v>
      </c>
      <c r="AL55" s="47">
        <v>197295.326</v>
      </c>
      <c r="AM55" s="68">
        <v>13553069.380000001</v>
      </c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 ht="15.75" x14ac:dyDescent="0.3">
      <c r="A56" s="5" t="s">
        <v>131</v>
      </c>
      <c r="B56" s="6"/>
      <c r="C56" s="6" t="s">
        <v>112</v>
      </c>
      <c r="D56" s="7" t="s">
        <v>118</v>
      </c>
      <c r="E56" s="8" t="s">
        <v>70</v>
      </c>
      <c r="F56" s="8">
        <v>2024</v>
      </c>
      <c r="G56" s="47">
        <v>4022271.628</v>
      </c>
      <c r="H56" s="47">
        <v>2116645.4580000001</v>
      </c>
      <c r="I56" s="47">
        <v>328569.59999999998</v>
      </c>
      <c r="J56" s="47">
        <v>424641.39399999997</v>
      </c>
      <c r="K56" s="47">
        <v>14453432.772</v>
      </c>
      <c r="L56" s="47">
        <v>422928.23300000001</v>
      </c>
      <c r="M56" s="47">
        <v>3828385.9279999998</v>
      </c>
      <c r="N56" s="47">
        <v>12707239.004000001</v>
      </c>
      <c r="O56" s="47">
        <v>112126.864</v>
      </c>
      <c r="P56" s="47">
        <v>14282029.130000001</v>
      </c>
      <c r="Q56" s="47">
        <v>8441746.6950000003</v>
      </c>
      <c r="R56" s="47">
        <v>872147.62600000005</v>
      </c>
      <c r="S56" s="57">
        <v>3757559.5580000002</v>
      </c>
      <c r="T56" s="47">
        <v>26175690.989</v>
      </c>
      <c r="U56" s="47">
        <v>4029864.287</v>
      </c>
      <c r="V56" s="47">
        <v>3744738.906</v>
      </c>
      <c r="W56" s="47">
        <v>213911.53899999999</v>
      </c>
      <c r="X56" s="47">
        <v>355486.89799999999</v>
      </c>
      <c r="Y56" s="47">
        <v>168918.74</v>
      </c>
      <c r="Z56" s="47">
        <v>1268925.94</v>
      </c>
      <c r="AA56" s="47">
        <v>4060956.878</v>
      </c>
      <c r="AB56" s="47">
        <v>4069206.5109999999</v>
      </c>
      <c r="AC56" s="47">
        <v>56142.847999999998</v>
      </c>
      <c r="AD56" s="47">
        <v>1402878.814</v>
      </c>
      <c r="AE56" s="47">
        <v>884184.55099999998</v>
      </c>
      <c r="AF56" s="47">
        <v>1126320.747</v>
      </c>
      <c r="AG56" s="47">
        <v>875310.08400000003</v>
      </c>
      <c r="AH56" s="47">
        <v>187797.18799999999</v>
      </c>
      <c r="AI56" s="47">
        <v>763433.52599999995</v>
      </c>
      <c r="AJ56" s="47">
        <v>7263117.1109999996</v>
      </c>
      <c r="AK56" s="47">
        <v>20593.598000000002</v>
      </c>
      <c r="AL56" s="47">
        <v>1917710.568</v>
      </c>
      <c r="AM56" s="68">
        <v>124354913.61300001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 ht="15.75" x14ac:dyDescent="0.3">
      <c r="A57" s="5" t="s">
        <v>132</v>
      </c>
      <c r="B57" s="6"/>
      <c r="C57" s="6" t="s">
        <v>112</v>
      </c>
      <c r="D57" s="7" t="s">
        <v>118</v>
      </c>
      <c r="E57" s="8" t="s">
        <v>70</v>
      </c>
      <c r="F57" s="8">
        <v>2024</v>
      </c>
      <c r="G57" s="47">
        <v>0</v>
      </c>
      <c r="H57" s="47">
        <v>495.43700000000001</v>
      </c>
      <c r="I57" s="47">
        <v>4422.0069999999996</v>
      </c>
      <c r="J57" s="47">
        <v>39.365000000000002</v>
      </c>
      <c r="K57" s="47">
        <v>45933.415000000001</v>
      </c>
      <c r="L57" s="47">
        <v>2.774</v>
      </c>
      <c r="M57" s="47">
        <v>0</v>
      </c>
      <c r="N57" s="47">
        <v>7719.6689999999999</v>
      </c>
      <c r="O57" s="47">
        <v>0</v>
      </c>
      <c r="P57" s="47">
        <v>24813.534</v>
      </c>
      <c r="Q57" s="47">
        <v>44727.375</v>
      </c>
      <c r="R57" s="47">
        <v>0</v>
      </c>
      <c r="S57" s="57">
        <v>60.944000000000003</v>
      </c>
      <c r="T57" s="47">
        <v>10293.937</v>
      </c>
      <c r="U57" s="47">
        <v>0</v>
      </c>
      <c r="V57" s="47">
        <v>4208.6040000000003</v>
      </c>
      <c r="W57" s="47">
        <v>0</v>
      </c>
      <c r="X57" s="47">
        <v>0</v>
      </c>
      <c r="Y57" s="47">
        <v>4551.4870000000001</v>
      </c>
      <c r="Z57" s="47">
        <v>0</v>
      </c>
      <c r="AA57" s="47">
        <v>1940.8530000000001</v>
      </c>
      <c r="AB57" s="47">
        <v>2960.4549999999999</v>
      </c>
      <c r="AC57" s="47">
        <v>12.909000000000001</v>
      </c>
      <c r="AD57" s="47">
        <v>5091.7870000000003</v>
      </c>
      <c r="AE57" s="47">
        <v>0</v>
      </c>
      <c r="AF57" s="47">
        <v>660.14599999999996</v>
      </c>
      <c r="AG57" s="47">
        <v>0</v>
      </c>
      <c r="AH57" s="47">
        <v>110.83</v>
      </c>
      <c r="AI57" s="47">
        <v>1778.8219999999999</v>
      </c>
      <c r="AJ57" s="47">
        <v>2517.8519999999999</v>
      </c>
      <c r="AK57" s="47">
        <v>0</v>
      </c>
      <c r="AL57" s="47">
        <v>6258.7780000000002</v>
      </c>
      <c r="AM57" s="68">
        <v>168600.98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 ht="15.75" x14ac:dyDescent="0.3">
      <c r="A58" s="5" t="s">
        <v>133</v>
      </c>
      <c r="B58" s="6"/>
      <c r="C58" s="6" t="s">
        <v>112</v>
      </c>
      <c r="D58" s="7" t="s">
        <v>118</v>
      </c>
      <c r="E58" s="8" t="s">
        <v>70</v>
      </c>
      <c r="F58" s="8">
        <v>2024</v>
      </c>
      <c r="G58" s="47">
        <v>0</v>
      </c>
      <c r="H58" s="47">
        <v>3990.9609999999998</v>
      </c>
      <c r="I58" s="47">
        <v>35554.428</v>
      </c>
      <c r="J58" s="47">
        <v>341.42200000000003</v>
      </c>
      <c r="K58" s="47">
        <v>378695.00300000003</v>
      </c>
      <c r="L58" s="47">
        <v>22.786999999999999</v>
      </c>
      <c r="M58" s="47">
        <v>0</v>
      </c>
      <c r="N58" s="47">
        <v>61725.493999999999</v>
      </c>
      <c r="O58" s="47">
        <v>0</v>
      </c>
      <c r="P58" s="47">
        <v>205326.16800000001</v>
      </c>
      <c r="Q58" s="47">
        <v>369003.261</v>
      </c>
      <c r="R58" s="47">
        <v>0</v>
      </c>
      <c r="S58" s="57">
        <v>523.54399999999998</v>
      </c>
      <c r="T58" s="47">
        <v>85960.006999999998</v>
      </c>
      <c r="U58" s="47">
        <v>0</v>
      </c>
      <c r="V58" s="47">
        <v>35175.159</v>
      </c>
      <c r="W58" s="47">
        <v>0</v>
      </c>
      <c r="X58" s="47">
        <v>0</v>
      </c>
      <c r="Y58" s="47">
        <v>39193.381999999998</v>
      </c>
      <c r="Z58" s="47">
        <v>0</v>
      </c>
      <c r="AA58" s="47">
        <v>16066.019</v>
      </c>
      <c r="AB58" s="47">
        <v>25051.577000000001</v>
      </c>
      <c r="AC58" s="47">
        <v>109.655</v>
      </c>
      <c r="AD58" s="47">
        <v>42713.838000000003</v>
      </c>
      <c r="AE58" s="47">
        <v>0</v>
      </c>
      <c r="AF58" s="47">
        <v>5333.98</v>
      </c>
      <c r="AG58" s="47">
        <v>0</v>
      </c>
      <c r="AH58" s="47">
        <v>909.27599999999995</v>
      </c>
      <c r="AI58" s="47">
        <v>14995.47</v>
      </c>
      <c r="AJ58" s="47">
        <v>21387.842000000001</v>
      </c>
      <c r="AK58" s="47">
        <v>0</v>
      </c>
      <c r="AL58" s="47">
        <v>50445.75</v>
      </c>
      <c r="AM58" s="68">
        <v>1392525.023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ht="15.75" x14ac:dyDescent="0.3">
      <c r="A59" s="5" t="s">
        <v>134</v>
      </c>
      <c r="B59" s="6"/>
      <c r="C59" s="6" t="s">
        <v>112</v>
      </c>
      <c r="D59" s="7" t="s">
        <v>118</v>
      </c>
      <c r="E59" s="8" t="s">
        <v>70</v>
      </c>
      <c r="F59" s="8">
        <v>2024</v>
      </c>
      <c r="G59" s="47">
        <v>9067.8209999999999</v>
      </c>
      <c r="H59" s="47">
        <v>32578.285</v>
      </c>
      <c r="I59" s="47">
        <v>995.16399999999999</v>
      </c>
      <c r="J59" s="47">
        <v>4928.5439999999999</v>
      </c>
      <c r="K59" s="47">
        <v>63576.337</v>
      </c>
      <c r="L59" s="47">
        <v>1387.5989999999999</v>
      </c>
      <c r="M59" s="47">
        <v>5569.4780000000001</v>
      </c>
      <c r="N59" s="47">
        <v>6057.39</v>
      </c>
      <c r="O59" s="47">
        <v>79.161000000000001</v>
      </c>
      <c r="P59" s="47">
        <v>80396.626999999993</v>
      </c>
      <c r="Q59" s="47">
        <v>71776.782000000007</v>
      </c>
      <c r="R59" s="47">
        <v>9118.8850000000002</v>
      </c>
      <c r="S59" s="57">
        <v>6641.62</v>
      </c>
      <c r="T59" s="47">
        <v>1771895.0449999999</v>
      </c>
      <c r="U59" s="47">
        <v>16090.194</v>
      </c>
      <c r="V59" s="47">
        <v>20815.86</v>
      </c>
      <c r="W59" s="47">
        <v>871.84799999999996</v>
      </c>
      <c r="X59" s="47">
        <v>26126.27</v>
      </c>
      <c r="Y59" s="47">
        <v>97981.263000000006</v>
      </c>
      <c r="Z59" s="47">
        <v>6922.2259999999997</v>
      </c>
      <c r="AA59" s="47">
        <v>488744.42499999999</v>
      </c>
      <c r="AB59" s="47">
        <v>20226.228999999999</v>
      </c>
      <c r="AC59" s="47">
        <v>486.62200000000001</v>
      </c>
      <c r="AD59" s="47">
        <v>117113.7</v>
      </c>
      <c r="AE59" s="47">
        <v>78704.615000000005</v>
      </c>
      <c r="AF59" s="47">
        <v>189176.524</v>
      </c>
      <c r="AG59" s="47">
        <v>1432.3989999999999</v>
      </c>
      <c r="AH59" s="47">
        <v>1176.6590000000001</v>
      </c>
      <c r="AI59" s="47">
        <v>1681.346</v>
      </c>
      <c r="AJ59" s="47">
        <v>17926.956999999999</v>
      </c>
      <c r="AK59" s="47">
        <v>115154.163</v>
      </c>
      <c r="AL59" s="47">
        <v>5374.473</v>
      </c>
      <c r="AM59" s="68">
        <v>3270074.5109999999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ht="15.75" x14ac:dyDescent="0.3">
      <c r="A60" s="5" t="s">
        <v>135</v>
      </c>
      <c r="B60" s="6"/>
      <c r="C60" s="6" t="s">
        <v>112</v>
      </c>
      <c r="D60" s="7" t="s">
        <v>118</v>
      </c>
      <c r="E60" s="8" t="s">
        <v>70</v>
      </c>
      <c r="F60" s="8">
        <v>2024</v>
      </c>
      <c r="G60" s="47">
        <v>285663.48300000001</v>
      </c>
      <c r="H60" s="47">
        <v>897857.53500000003</v>
      </c>
      <c r="I60" s="47">
        <v>30154.677</v>
      </c>
      <c r="J60" s="47">
        <v>141794.21100000001</v>
      </c>
      <c r="K60" s="47">
        <v>1707441.6440000001</v>
      </c>
      <c r="L60" s="47">
        <v>40655.932999999997</v>
      </c>
      <c r="M60" s="47">
        <v>200055.65</v>
      </c>
      <c r="N60" s="47">
        <v>197773.78400000001</v>
      </c>
      <c r="O60" s="47">
        <v>3016.0340000000001</v>
      </c>
      <c r="P60" s="47">
        <v>2183106.0860000001</v>
      </c>
      <c r="Q60" s="47">
        <v>2392320.1439999999</v>
      </c>
      <c r="R60" s="47">
        <v>318705.03100000002</v>
      </c>
      <c r="S60" s="57">
        <v>214528.39600000001</v>
      </c>
      <c r="T60" s="47">
        <v>52394936.476000004</v>
      </c>
      <c r="U60" s="47">
        <v>475304.33100000001</v>
      </c>
      <c r="V60" s="47">
        <v>628269.43999999994</v>
      </c>
      <c r="W60" s="47">
        <v>29470.09</v>
      </c>
      <c r="X60" s="47">
        <v>732319.348</v>
      </c>
      <c r="Y60" s="47">
        <v>2970791.8939999999</v>
      </c>
      <c r="Z60" s="47">
        <v>206697.66800000001</v>
      </c>
      <c r="AA60" s="47">
        <v>13660406.679</v>
      </c>
      <c r="AB60" s="47">
        <v>621754.27899999998</v>
      </c>
      <c r="AC60" s="47">
        <v>19051.251</v>
      </c>
      <c r="AD60" s="47">
        <v>3441150.9440000001</v>
      </c>
      <c r="AE60" s="47">
        <v>2328779.9640000002</v>
      </c>
      <c r="AF60" s="47">
        <v>6140669.9689999996</v>
      </c>
      <c r="AG60" s="47">
        <v>51766.9</v>
      </c>
      <c r="AH60" s="47">
        <v>32132.12</v>
      </c>
      <c r="AI60" s="47">
        <v>52071.286</v>
      </c>
      <c r="AJ60" s="47">
        <v>604246.10600000003</v>
      </c>
      <c r="AK60" s="47">
        <v>3517959.68</v>
      </c>
      <c r="AL60" s="47">
        <v>154677.33300000001</v>
      </c>
      <c r="AM60" s="68">
        <v>96675528.365999997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ht="15.75" x14ac:dyDescent="0.3">
      <c r="A61" s="5" t="s">
        <v>136</v>
      </c>
      <c r="B61" s="6"/>
      <c r="C61" s="6" t="s">
        <v>112</v>
      </c>
      <c r="D61" s="7" t="s">
        <v>118</v>
      </c>
      <c r="E61" s="8" t="s">
        <v>70</v>
      </c>
      <c r="F61" s="8">
        <v>2024</v>
      </c>
      <c r="G61" s="47">
        <v>641.428</v>
      </c>
      <c r="H61" s="47">
        <v>286.74700000000001</v>
      </c>
      <c r="I61" s="47">
        <v>227.459</v>
      </c>
      <c r="J61" s="47">
        <v>4407.6499999999996</v>
      </c>
      <c r="K61" s="47">
        <v>217.8</v>
      </c>
      <c r="L61" s="47">
        <v>529.505</v>
      </c>
      <c r="M61" s="47">
        <v>5941.5060000000003</v>
      </c>
      <c r="N61" s="47">
        <v>405.6</v>
      </c>
      <c r="O61" s="47">
        <v>77.760999999999996</v>
      </c>
      <c r="P61" s="47">
        <v>301.14699999999999</v>
      </c>
      <c r="Q61" s="47">
        <v>721.10199999999998</v>
      </c>
      <c r="R61" s="47">
        <v>2088.942</v>
      </c>
      <c r="S61" s="68">
        <v>1421.521</v>
      </c>
      <c r="T61" s="47">
        <v>5848.9859999999999</v>
      </c>
      <c r="U61" s="47">
        <v>918.22900000000004</v>
      </c>
      <c r="V61" s="47">
        <v>2032.442</v>
      </c>
      <c r="W61" s="47">
        <v>2039.1320000000001</v>
      </c>
      <c r="X61" s="47">
        <v>461.46699999999998</v>
      </c>
      <c r="Y61" s="47">
        <v>265.21199999999999</v>
      </c>
      <c r="Z61" s="47">
        <v>4715.8909999999996</v>
      </c>
      <c r="AA61" s="47">
        <v>2356.6759999999999</v>
      </c>
      <c r="AB61" s="47">
        <v>38.44</v>
      </c>
      <c r="AC61" s="47">
        <v>2936.8209999999999</v>
      </c>
      <c r="AD61" s="47">
        <v>946.97</v>
      </c>
      <c r="AE61" s="47">
        <v>168.04400000000001</v>
      </c>
      <c r="AF61" s="47">
        <v>296.13099999999997</v>
      </c>
      <c r="AG61" s="47">
        <v>417.92700000000002</v>
      </c>
      <c r="AH61" s="47">
        <v>794.97400000000005</v>
      </c>
      <c r="AI61" s="47">
        <v>500.51299999999998</v>
      </c>
      <c r="AJ61" s="47">
        <v>5233</v>
      </c>
      <c r="AK61" s="47">
        <v>9250.3909999999996</v>
      </c>
      <c r="AL61" s="47">
        <v>940.94600000000003</v>
      </c>
      <c r="AM61" s="68">
        <v>57430.36</v>
      </c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ht="15.75" x14ac:dyDescent="0.3">
      <c r="A62" s="5" t="s">
        <v>137</v>
      </c>
      <c r="B62" s="6"/>
      <c r="C62" s="6" t="s">
        <v>112</v>
      </c>
      <c r="D62" s="7" t="s">
        <v>118</v>
      </c>
      <c r="E62" s="8" t="s">
        <v>70</v>
      </c>
      <c r="F62" s="8">
        <v>2024</v>
      </c>
      <c r="G62" s="47">
        <v>32555.414000000001</v>
      </c>
      <c r="H62" s="47">
        <v>14694.907999999999</v>
      </c>
      <c r="I62" s="47">
        <v>12048.732</v>
      </c>
      <c r="J62" s="47">
        <v>118742.09</v>
      </c>
      <c r="K62" s="47">
        <v>11492.813</v>
      </c>
      <c r="L62" s="47">
        <v>27387.628000000001</v>
      </c>
      <c r="M62" s="47">
        <v>294787.261</v>
      </c>
      <c r="N62" s="47">
        <v>20063.157999999999</v>
      </c>
      <c r="O62" s="47">
        <v>4309.1719999999996</v>
      </c>
      <c r="P62" s="47">
        <v>15764.455</v>
      </c>
      <c r="Q62" s="47">
        <v>37656.258999999998</v>
      </c>
      <c r="R62" s="47">
        <v>105844.867</v>
      </c>
      <c r="S62" s="68">
        <v>66570.364000000001</v>
      </c>
      <c r="T62" s="47">
        <v>300683.94099999999</v>
      </c>
      <c r="U62" s="47">
        <v>50194.985000000001</v>
      </c>
      <c r="V62" s="47">
        <v>110670.039</v>
      </c>
      <c r="W62" s="47">
        <v>95263.808999999994</v>
      </c>
      <c r="X62" s="47">
        <v>22315.517</v>
      </c>
      <c r="Y62" s="47">
        <v>13907.508</v>
      </c>
      <c r="Z62" s="47">
        <v>210015.09</v>
      </c>
      <c r="AA62" s="47">
        <v>116317.68399999999</v>
      </c>
      <c r="AB62" s="47">
        <v>1922.14</v>
      </c>
      <c r="AC62" s="47">
        <v>78266.28</v>
      </c>
      <c r="AD62" s="47">
        <v>48202.832999999999</v>
      </c>
      <c r="AE62" s="47">
        <v>8571.2909999999993</v>
      </c>
      <c r="AF62" s="47">
        <v>15539.915999999999</v>
      </c>
      <c r="AG62" s="47">
        <v>21280.600999999999</v>
      </c>
      <c r="AH62" s="47">
        <v>37853.866999999998</v>
      </c>
      <c r="AI62" s="47">
        <v>25703.368999999999</v>
      </c>
      <c r="AJ62" s="47">
        <v>256378.06299999999</v>
      </c>
      <c r="AK62" s="47">
        <v>249886.66500000001</v>
      </c>
      <c r="AL62" s="47">
        <v>44945.400999999998</v>
      </c>
      <c r="AM62" s="68">
        <v>2469836.12</v>
      </c>
      <c r="AN62" s="38"/>
    </row>
    <row r="63" spans="1:72" ht="15.75" x14ac:dyDescent="0.3">
      <c r="A63" s="5" t="s">
        <v>138</v>
      </c>
      <c r="B63" s="6"/>
      <c r="C63" s="6" t="s">
        <v>112</v>
      </c>
      <c r="D63" s="7" t="s">
        <v>118</v>
      </c>
      <c r="E63" s="8" t="s">
        <v>70</v>
      </c>
      <c r="F63" s="8">
        <v>2024</v>
      </c>
      <c r="G63" s="47">
        <v>0</v>
      </c>
      <c r="H63" s="47">
        <v>6.8780000000000001</v>
      </c>
      <c r="I63" s="47">
        <v>6.5010000000000003</v>
      </c>
      <c r="J63" s="47">
        <v>66.998000000000005</v>
      </c>
      <c r="K63" s="47">
        <v>5.4379999999999997</v>
      </c>
      <c r="L63" s="47">
        <v>13.878</v>
      </c>
      <c r="M63" s="47">
        <v>105.035</v>
      </c>
      <c r="N63" s="47">
        <v>5.2519999999999998</v>
      </c>
      <c r="O63" s="47">
        <v>0</v>
      </c>
      <c r="P63" s="47">
        <v>6.9619999999999997</v>
      </c>
      <c r="Q63" s="47">
        <v>0.96199999999999997</v>
      </c>
      <c r="R63" s="47">
        <v>47.046999999999997</v>
      </c>
      <c r="S63" s="68">
        <v>33.097999999999999</v>
      </c>
      <c r="T63" s="47">
        <v>129.02600000000001</v>
      </c>
      <c r="U63" s="47">
        <v>15.138</v>
      </c>
      <c r="V63" s="47">
        <v>55.536999999999999</v>
      </c>
      <c r="W63" s="47">
        <v>0</v>
      </c>
      <c r="X63" s="47">
        <v>9.0939999999999994</v>
      </c>
      <c r="Y63" s="47">
        <v>2.5590000000000002</v>
      </c>
      <c r="Z63" s="47">
        <v>107.258</v>
      </c>
      <c r="AA63" s="47">
        <v>40.698999999999998</v>
      </c>
      <c r="AB63" s="47">
        <v>0.875</v>
      </c>
      <c r="AC63" s="47">
        <v>68.637</v>
      </c>
      <c r="AD63" s="47">
        <v>24.244</v>
      </c>
      <c r="AE63" s="47">
        <v>0.48799999999999999</v>
      </c>
      <c r="AF63" s="47">
        <v>0</v>
      </c>
      <c r="AG63" s="47">
        <v>9.35</v>
      </c>
      <c r="AH63" s="47">
        <v>20.030999999999999</v>
      </c>
      <c r="AI63" s="47">
        <v>10.818</v>
      </c>
      <c r="AJ63" s="47">
        <v>146.559</v>
      </c>
      <c r="AK63" s="47">
        <v>162.22399999999999</v>
      </c>
      <c r="AL63" s="47">
        <v>19.739000000000001</v>
      </c>
      <c r="AM63" s="68">
        <v>1120.325</v>
      </c>
      <c r="AN63" s="38"/>
    </row>
    <row r="64" spans="1:72" ht="15.75" x14ac:dyDescent="0.3">
      <c r="A64" s="5" t="s">
        <v>139</v>
      </c>
      <c r="B64" s="6"/>
      <c r="C64" s="6" t="s">
        <v>112</v>
      </c>
      <c r="D64" s="7" t="s">
        <v>118</v>
      </c>
      <c r="E64" s="8" t="s">
        <v>70</v>
      </c>
      <c r="F64" s="8">
        <v>2024</v>
      </c>
      <c r="G64" s="47">
        <v>0</v>
      </c>
      <c r="H64" s="47">
        <v>450.58</v>
      </c>
      <c r="I64" s="47">
        <v>469.721</v>
      </c>
      <c r="J64" s="47">
        <v>5278.0290000000005</v>
      </c>
      <c r="K64" s="47">
        <v>425.93</v>
      </c>
      <c r="L64" s="47">
        <v>1127.9159999999999</v>
      </c>
      <c r="M64" s="47">
        <v>7657.2780000000002</v>
      </c>
      <c r="N64" s="47">
        <v>369.43</v>
      </c>
      <c r="O64" s="47">
        <v>0</v>
      </c>
      <c r="P64" s="47">
        <v>535.952</v>
      </c>
      <c r="Q64" s="47">
        <v>67.959999999999994</v>
      </c>
      <c r="R64" s="47">
        <v>3316.81</v>
      </c>
      <c r="S64" s="68">
        <v>2665.95</v>
      </c>
      <c r="T64" s="47">
        <v>10482.492</v>
      </c>
      <c r="U64" s="47">
        <v>1144.326</v>
      </c>
      <c r="V64" s="47">
        <v>4410.8940000000002</v>
      </c>
      <c r="W64" s="47">
        <v>0</v>
      </c>
      <c r="X64" s="47">
        <v>741.18299999999999</v>
      </c>
      <c r="Y64" s="47">
        <v>197.77</v>
      </c>
      <c r="Z64" s="47">
        <v>8053.5829999999996</v>
      </c>
      <c r="AA64" s="47">
        <v>3142.259</v>
      </c>
      <c r="AB64" s="47">
        <v>70.790000000000006</v>
      </c>
      <c r="AC64" s="47">
        <v>5415.4440000000004</v>
      </c>
      <c r="AD64" s="47">
        <v>2078.1010000000001</v>
      </c>
      <c r="AE64" s="47">
        <v>42.134</v>
      </c>
      <c r="AF64" s="47">
        <v>0</v>
      </c>
      <c r="AG64" s="47">
        <v>711.13199999999995</v>
      </c>
      <c r="AH64" s="47">
        <v>1547.596</v>
      </c>
      <c r="AI64" s="47">
        <v>874.29300000000001</v>
      </c>
      <c r="AJ64" s="47">
        <v>12087.700999999999</v>
      </c>
      <c r="AK64" s="47">
        <v>11462.748</v>
      </c>
      <c r="AL64" s="47">
        <v>1592.8109999999999</v>
      </c>
      <c r="AM64" s="68">
        <v>86420.812999999995</v>
      </c>
      <c r="AN64" s="38"/>
    </row>
    <row r="65" spans="1:40" ht="15.75" x14ac:dyDescent="0.3">
      <c r="A65" s="5" t="s">
        <v>140</v>
      </c>
      <c r="B65" s="6"/>
      <c r="C65" s="6" t="s">
        <v>112</v>
      </c>
      <c r="D65" s="7" t="s">
        <v>118</v>
      </c>
      <c r="E65" s="8" t="s">
        <v>70</v>
      </c>
      <c r="F65" s="8">
        <v>2024</v>
      </c>
      <c r="G65" s="47">
        <v>0</v>
      </c>
      <c r="H65" s="47">
        <v>0</v>
      </c>
      <c r="I65" s="47">
        <v>0</v>
      </c>
      <c r="J65" s="47">
        <v>0</v>
      </c>
      <c r="K65" s="47">
        <v>17.302</v>
      </c>
      <c r="L65" s="47">
        <v>0</v>
      </c>
      <c r="M65" s="47">
        <v>114.383</v>
      </c>
      <c r="N65" s="47">
        <v>3.9239999999999999</v>
      </c>
      <c r="O65" s="47">
        <v>0</v>
      </c>
      <c r="P65" s="47">
        <v>58.09</v>
      </c>
      <c r="Q65" s="47">
        <v>5.0229999999999997</v>
      </c>
      <c r="R65" s="47">
        <v>0</v>
      </c>
      <c r="S65" s="68">
        <v>1530.722</v>
      </c>
      <c r="T65" s="47">
        <v>0</v>
      </c>
      <c r="U65" s="47">
        <v>436.76799999999997</v>
      </c>
      <c r="V65" s="47">
        <v>73.308999999999997</v>
      </c>
      <c r="W65" s="47">
        <v>0</v>
      </c>
      <c r="X65" s="47">
        <v>0</v>
      </c>
      <c r="Y65" s="47">
        <v>0</v>
      </c>
      <c r="Z65" s="47">
        <v>133.35400000000001</v>
      </c>
      <c r="AA65" s="47">
        <v>188.89</v>
      </c>
      <c r="AB65" s="47">
        <v>0</v>
      </c>
      <c r="AC65" s="47">
        <v>0</v>
      </c>
      <c r="AD65" s="47">
        <v>405.07400000000001</v>
      </c>
      <c r="AE65" s="47">
        <v>0</v>
      </c>
      <c r="AF65" s="47">
        <v>0</v>
      </c>
      <c r="AG65" s="47">
        <v>0</v>
      </c>
      <c r="AH65" s="47">
        <v>0</v>
      </c>
      <c r="AI65" s="47">
        <v>223.482</v>
      </c>
      <c r="AJ65" s="47">
        <v>63.189</v>
      </c>
      <c r="AK65" s="47">
        <v>0</v>
      </c>
      <c r="AL65" s="47">
        <v>577.81500000000005</v>
      </c>
      <c r="AM65" s="68">
        <v>3831.3249999999998</v>
      </c>
      <c r="AN65" s="38"/>
    </row>
    <row r="66" spans="1:40" ht="15.75" x14ac:dyDescent="0.3">
      <c r="A66" s="5" t="s">
        <v>141</v>
      </c>
      <c r="B66" s="6"/>
      <c r="C66" s="6" t="s">
        <v>112</v>
      </c>
      <c r="D66" s="7" t="s">
        <v>118</v>
      </c>
      <c r="E66" s="8" t="s">
        <v>70</v>
      </c>
      <c r="F66" s="8">
        <v>2024</v>
      </c>
      <c r="G66" s="47">
        <v>0</v>
      </c>
      <c r="H66" s="47">
        <v>0</v>
      </c>
      <c r="I66" s="47">
        <v>0</v>
      </c>
      <c r="J66" s="47">
        <v>0</v>
      </c>
      <c r="K66" s="47">
        <v>154.50700000000001</v>
      </c>
      <c r="L66" s="47">
        <v>0</v>
      </c>
      <c r="M66" s="47">
        <v>5390.87</v>
      </c>
      <c r="N66" s="47">
        <v>32.765999999999998</v>
      </c>
      <c r="O66" s="47">
        <v>0</v>
      </c>
      <c r="P66" s="47">
        <v>344.47399999999999</v>
      </c>
      <c r="Q66" s="47">
        <v>40.183999999999997</v>
      </c>
      <c r="R66" s="47">
        <v>0</v>
      </c>
      <c r="S66" s="68">
        <v>7163.7790000000005</v>
      </c>
      <c r="T66" s="47">
        <v>0</v>
      </c>
      <c r="U66" s="47">
        <v>1129.6099999999999</v>
      </c>
      <c r="V66" s="47">
        <v>1005.8579999999999</v>
      </c>
      <c r="W66" s="47">
        <v>0</v>
      </c>
      <c r="X66" s="47">
        <v>0</v>
      </c>
      <c r="Y66" s="47">
        <v>0</v>
      </c>
      <c r="Z66" s="47">
        <v>1170.1980000000001</v>
      </c>
      <c r="AA66" s="47">
        <v>1305.23</v>
      </c>
      <c r="AB66" s="47">
        <v>0</v>
      </c>
      <c r="AC66" s="47">
        <v>0</v>
      </c>
      <c r="AD66" s="47">
        <v>3618.9369999999999</v>
      </c>
      <c r="AE66" s="47">
        <v>0</v>
      </c>
      <c r="AF66" s="47">
        <v>0</v>
      </c>
      <c r="AG66" s="47">
        <v>0</v>
      </c>
      <c r="AH66" s="47">
        <v>0</v>
      </c>
      <c r="AI66" s="47">
        <v>556.79100000000005</v>
      </c>
      <c r="AJ66" s="47">
        <v>283.73200000000003</v>
      </c>
      <c r="AK66" s="47">
        <v>0</v>
      </c>
      <c r="AL66" s="47">
        <v>4580.2640000000001</v>
      </c>
      <c r="AM66" s="68">
        <v>26777.200000000001</v>
      </c>
      <c r="AN66" s="38"/>
    </row>
    <row r="67" spans="1:40" ht="15.75" x14ac:dyDescent="0.3">
      <c r="A67" s="5" t="s">
        <v>182</v>
      </c>
      <c r="B67" s="6"/>
      <c r="C67" s="6" t="s">
        <v>142</v>
      </c>
      <c r="D67" s="25" t="s">
        <v>181</v>
      </c>
      <c r="E67" s="8" t="s">
        <v>70</v>
      </c>
      <c r="F67" s="8">
        <v>2024</v>
      </c>
      <c r="G67" s="47">
        <v>85678.98</v>
      </c>
      <c r="H67" s="47">
        <v>353035003.14000052</v>
      </c>
      <c r="I67" s="47">
        <v>204270850.92999977</v>
      </c>
      <c r="J67" s="47">
        <v>44784567.01000002</v>
      </c>
      <c r="K67" s="47">
        <v>22680.299999999996</v>
      </c>
      <c r="L67" s="47">
        <v>43144122.590000011</v>
      </c>
      <c r="M67" s="47">
        <v>34697044.589999951</v>
      </c>
      <c r="N67" s="47">
        <v>407147</v>
      </c>
      <c r="O67" s="47">
        <v>865</v>
      </c>
      <c r="P67" s="47">
        <v>229480.66999999998</v>
      </c>
      <c r="Q67" s="47">
        <v>77050</v>
      </c>
      <c r="R67" s="47">
        <v>7230335.9300000016</v>
      </c>
      <c r="S67" s="57">
        <v>5879133.6999999993</v>
      </c>
      <c r="T67" s="47">
        <v>13806206.00000002</v>
      </c>
      <c r="U67" s="47">
        <v>15651355.25</v>
      </c>
      <c r="V67" s="47">
        <v>12950922.419999998</v>
      </c>
      <c r="W67" s="47">
        <v>207872.0986</v>
      </c>
      <c r="X67" s="47">
        <v>32512117.489999954</v>
      </c>
      <c r="Y67" s="47">
        <v>33887.800000000003</v>
      </c>
      <c r="Z67" s="47">
        <v>5587364.4000000078</v>
      </c>
      <c r="AA67" s="47">
        <v>314752.85000000003</v>
      </c>
      <c r="AB67" s="47">
        <v>450797.19</v>
      </c>
      <c r="AC67" s="47">
        <v>2225797.919999999</v>
      </c>
      <c r="AD67" s="47">
        <v>52037.200000000004</v>
      </c>
      <c r="AE67" s="47">
        <v>468319191.06</v>
      </c>
      <c r="AF67" s="47">
        <v>776179840.03000021</v>
      </c>
      <c r="AG67" s="47">
        <v>38591305.259999998</v>
      </c>
      <c r="AH67" s="47">
        <v>31738352.870000016</v>
      </c>
      <c r="AI67" s="47">
        <v>103101.6</v>
      </c>
      <c r="AJ67" s="47">
        <v>60612479.389999919</v>
      </c>
      <c r="AK67" s="47">
        <v>40230175.160000041</v>
      </c>
      <c r="AL67" s="47">
        <v>1154294</v>
      </c>
      <c r="AM67" s="57">
        <v>2194585809.8286395</v>
      </c>
      <c r="AN67" s="38"/>
    </row>
    <row r="68" spans="1:40" ht="15.75" x14ac:dyDescent="0.3">
      <c r="A68" s="5" t="s">
        <v>183</v>
      </c>
      <c r="B68" s="6"/>
      <c r="C68" s="6" t="s">
        <v>142</v>
      </c>
      <c r="D68" s="10" t="s">
        <v>181</v>
      </c>
      <c r="E68" s="8" t="s">
        <v>70</v>
      </c>
      <c r="F68" s="8">
        <v>2024</v>
      </c>
      <c r="G68" s="47">
        <v>7918797.1000000006</v>
      </c>
      <c r="H68" s="47">
        <v>3609316667.6424708</v>
      </c>
      <c r="I68" s="47">
        <v>2510391652.8555202</v>
      </c>
      <c r="J68" s="47">
        <v>1352348604.5695295</v>
      </c>
      <c r="K68" s="47">
        <v>805455</v>
      </c>
      <c r="L68" s="47">
        <v>950549850.89640474</v>
      </c>
      <c r="M68" s="47">
        <v>941396406.14419961</v>
      </c>
      <c r="N68" s="47">
        <v>28291595</v>
      </c>
      <c r="O68" s="47">
        <v>164100</v>
      </c>
      <c r="P68" s="47">
        <v>11613145.922</v>
      </c>
      <c r="Q68" s="47">
        <v>6394000</v>
      </c>
      <c r="R68" s="47">
        <v>392262150.46858805</v>
      </c>
      <c r="S68" s="57">
        <v>588923809.02999997</v>
      </c>
      <c r="T68" s="47">
        <v>351928107.67918503</v>
      </c>
      <c r="U68" s="47">
        <v>1086955198</v>
      </c>
      <c r="V68" s="47">
        <v>422704241.69345993</v>
      </c>
      <c r="W68" s="47">
        <v>5334807.8530000011</v>
      </c>
      <c r="X68" s="47">
        <v>1578088302.7994845</v>
      </c>
      <c r="Y68" s="47">
        <v>3113615</v>
      </c>
      <c r="Z68" s="47">
        <v>234806383.73329979</v>
      </c>
      <c r="AA68" s="47">
        <v>16495503.75</v>
      </c>
      <c r="AB68" s="47">
        <v>33193825.860000007</v>
      </c>
      <c r="AC68" s="47">
        <v>314164462.65008026</v>
      </c>
      <c r="AD68" s="47">
        <v>3351320</v>
      </c>
      <c r="AE68" s="47">
        <v>14529715526.604116</v>
      </c>
      <c r="AF68" s="47">
        <v>11430875164.007364</v>
      </c>
      <c r="AG68" s="47">
        <v>1351973374.6277997</v>
      </c>
      <c r="AH68" s="47">
        <v>1183952873.4234784</v>
      </c>
      <c r="AI68" s="47">
        <v>7333005</v>
      </c>
      <c r="AJ68" s="47">
        <v>1805530800.2940593</v>
      </c>
      <c r="AK68" s="47">
        <v>2434148516.1424994</v>
      </c>
      <c r="AL68" s="47">
        <v>34252850</v>
      </c>
      <c r="AM68" s="57">
        <v>47228294113.746368</v>
      </c>
      <c r="AN68" s="38"/>
    </row>
    <row r="69" spans="1:40" ht="15.75" x14ac:dyDescent="0.3">
      <c r="A69" s="5" t="s">
        <v>143</v>
      </c>
      <c r="B69" s="6"/>
      <c r="C69" s="6" t="s">
        <v>144</v>
      </c>
      <c r="D69" s="10" t="s">
        <v>185</v>
      </c>
      <c r="E69" s="8" t="s">
        <v>70</v>
      </c>
      <c r="F69" s="8">
        <v>2024</v>
      </c>
      <c r="G69" s="47">
        <v>208</v>
      </c>
      <c r="H69" s="47">
        <v>811</v>
      </c>
      <c r="I69" s="47">
        <v>500</v>
      </c>
      <c r="J69" s="47">
        <v>304</v>
      </c>
      <c r="K69" s="47">
        <v>497</v>
      </c>
      <c r="L69" s="47">
        <v>279</v>
      </c>
      <c r="M69" s="47">
        <v>1150</v>
      </c>
      <c r="N69" s="47">
        <v>784</v>
      </c>
      <c r="O69" s="47">
        <v>790</v>
      </c>
      <c r="P69" s="47">
        <v>459</v>
      </c>
      <c r="Q69" s="47">
        <v>1100</v>
      </c>
      <c r="R69" s="47">
        <v>702</v>
      </c>
      <c r="S69" s="57">
        <v>847</v>
      </c>
      <c r="T69" s="47">
        <v>2821</v>
      </c>
      <c r="U69" s="47">
        <v>1133</v>
      </c>
      <c r="V69" s="47">
        <v>722</v>
      </c>
      <c r="W69" s="47">
        <v>619</v>
      </c>
      <c r="X69" s="47">
        <v>807</v>
      </c>
      <c r="Y69" s="47">
        <v>488</v>
      </c>
      <c r="Z69" s="47">
        <v>1573</v>
      </c>
      <c r="AA69" s="47">
        <v>1402</v>
      </c>
      <c r="AB69" s="47">
        <v>1245</v>
      </c>
      <c r="AC69" s="47">
        <v>1349</v>
      </c>
      <c r="AD69" s="47">
        <v>583</v>
      </c>
      <c r="AE69" s="47">
        <v>621</v>
      </c>
      <c r="AF69" s="47">
        <v>511</v>
      </c>
      <c r="AG69" s="47">
        <v>548</v>
      </c>
      <c r="AH69" s="47">
        <v>743</v>
      </c>
      <c r="AI69" s="47">
        <v>422</v>
      </c>
      <c r="AJ69" s="47">
        <v>2081</v>
      </c>
      <c r="AK69" s="47">
        <v>649</v>
      </c>
      <c r="AL69" s="47">
        <v>289</v>
      </c>
      <c r="AM69" s="57">
        <f>SUM(G69:AL69)</f>
        <v>27037</v>
      </c>
      <c r="AN69" s="38"/>
    </row>
    <row r="70" spans="1:40" ht="15.75" x14ac:dyDescent="0.3">
      <c r="A70" s="5" t="s">
        <v>145</v>
      </c>
      <c r="B70" s="6"/>
      <c r="C70" s="6" t="s">
        <v>144</v>
      </c>
      <c r="D70" s="10" t="s">
        <v>185</v>
      </c>
      <c r="E70" s="8" t="s">
        <v>70</v>
      </c>
      <c r="F70" s="8">
        <v>2024</v>
      </c>
      <c r="G70" s="47">
        <v>7979</v>
      </c>
      <c r="H70" s="47" t="s">
        <v>146</v>
      </c>
      <c r="I70" s="47">
        <v>28665</v>
      </c>
      <c r="J70" s="47">
        <v>8090</v>
      </c>
      <c r="K70" s="47">
        <v>15419</v>
      </c>
      <c r="L70" s="47">
        <v>8920</v>
      </c>
      <c r="M70" s="47">
        <v>24245</v>
      </c>
      <c r="N70" s="47">
        <v>23393</v>
      </c>
      <c r="O70" s="47">
        <v>60485</v>
      </c>
      <c r="P70" s="47">
        <v>7617</v>
      </c>
      <c r="Q70" s="47">
        <v>32565</v>
      </c>
      <c r="R70" s="47">
        <v>17272</v>
      </c>
      <c r="S70" s="57">
        <v>16005</v>
      </c>
      <c r="T70" s="47">
        <v>82778</v>
      </c>
      <c r="U70" s="47">
        <v>23493</v>
      </c>
      <c r="V70" s="47">
        <v>18160</v>
      </c>
      <c r="W70" s="47">
        <v>13497</v>
      </c>
      <c r="X70" s="47">
        <v>27376</v>
      </c>
      <c r="Y70" s="47">
        <v>23669</v>
      </c>
      <c r="Z70" s="47">
        <v>31200</v>
      </c>
      <c r="AA70" s="47">
        <v>31675</v>
      </c>
      <c r="AB70" s="47">
        <v>20251</v>
      </c>
      <c r="AC70" s="47">
        <v>130123</v>
      </c>
      <c r="AD70" s="47">
        <v>16604</v>
      </c>
      <c r="AE70" s="47">
        <v>24529</v>
      </c>
      <c r="AF70" s="47">
        <v>12171</v>
      </c>
      <c r="AG70" s="47">
        <v>13301</v>
      </c>
      <c r="AH70" s="47">
        <v>28263</v>
      </c>
      <c r="AI70" s="47" t="s">
        <v>184</v>
      </c>
      <c r="AJ70" s="47">
        <v>51983</v>
      </c>
      <c r="AK70" s="47">
        <v>16483</v>
      </c>
      <c r="AL70" s="47">
        <v>7619</v>
      </c>
      <c r="AM70" s="57">
        <f t="shared" ref="AM70:AM81" si="0">SUM(G70:AL70)</f>
        <v>823830</v>
      </c>
      <c r="AN70" s="38"/>
    </row>
    <row r="71" spans="1:40" ht="15.75" x14ac:dyDescent="0.3">
      <c r="A71" s="5" t="s">
        <v>147</v>
      </c>
      <c r="B71" s="6"/>
      <c r="C71" s="6" t="s">
        <v>144</v>
      </c>
      <c r="D71" s="10" t="s">
        <v>185</v>
      </c>
      <c r="E71" s="8" t="s">
        <v>70</v>
      </c>
      <c r="F71" s="8">
        <v>2024</v>
      </c>
      <c r="G71" s="47">
        <v>14</v>
      </c>
      <c r="H71" s="47">
        <v>189</v>
      </c>
      <c r="I71" s="47">
        <v>22</v>
      </c>
      <c r="J71" s="47">
        <v>72</v>
      </c>
      <c r="K71" s="47">
        <v>8</v>
      </c>
      <c r="L71" s="47">
        <v>23</v>
      </c>
      <c r="M71" s="47">
        <v>412</v>
      </c>
      <c r="N71" s="47">
        <v>235</v>
      </c>
      <c r="O71" s="47">
        <v>203</v>
      </c>
      <c r="P71" s="47">
        <v>27</v>
      </c>
      <c r="Q71" s="47">
        <v>77</v>
      </c>
      <c r="R71" s="47">
        <v>39</v>
      </c>
      <c r="S71" s="57">
        <v>41</v>
      </c>
      <c r="T71" s="47">
        <v>207</v>
      </c>
      <c r="U71" s="47">
        <v>248</v>
      </c>
      <c r="V71" s="47">
        <v>75</v>
      </c>
      <c r="W71" s="47">
        <v>74</v>
      </c>
      <c r="X71" s="47">
        <v>91</v>
      </c>
      <c r="Y71" s="47">
        <v>61</v>
      </c>
      <c r="Z71" s="47">
        <v>91</v>
      </c>
      <c r="AA71" s="47">
        <v>210</v>
      </c>
      <c r="AB71" s="47">
        <v>77</v>
      </c>
      <c r="AC71" s="47">
        <v>58</v>
      </c>
      <c r="AD71" s="47">
        <v>104</v>
      </c>
      <c r="AE71" s="47">
        <v>35</v>
      </c>
      <c r="AF71" s="47" t="s">
        <v>172</v>
      </c>
      <c r="AG71" s="47">
        <v>79</v>
      </c>
      <c r="AH71" s="47">
        <v>18</v>
      </c>
      <c r="AI71" s="47">
        <v>36</v>
      </c>
      <c r="AJ71" s="47">
        <v>191</v>
      </c>
      <c r="AK71" s="47">
        <v>66</v>
      </c>
      <c r="AL71" s="47">
        <v>41</v>
      </c>
      <c r="AM71" s="57">
        <f t="shared" si="0"/>
        <v>3124</v>
      </c>
      <c r="AN71" s="38"/>
    </row>
    <row r="72" spans="1:40" ht="15.75" x14ac:dyDescent="0.3">
      <c r="A72" s="5" t="s">
        <v>149</v>
      </c>
      <c r="B72" s="6"/>
      <c r="C72" s="6" t="s">
        <v>144</v>
      </c>
      <c r="D72" s="10" t="s">
        <v>185</v>
      </c>
      <c r="E72" s="8" t="s">
        <v>70</v>
      </c>
      <c r="F72" s="8">
        <v>2024</v>
      </c>
      <c r="G72" s="47">
        <v>30</v>
      </c>
      <c r="H72" s="47">
        <v>163</v>
      </c>
      <c r="I72" s="47">
        <v>17</v>
      </c>
      <c r="J72" s="47">
        <v>56</v>
      </c>
      <c r="K72" s="47">
        <v>49</v>
      </c>
      <c r="L72" s="47">
        <v>31</v>
      </c>
      <c r="M72" s="47">
        <v>168</v>
      </c>
      <c r="N72" s="47">
        <v>239</v>
      </c>
      <c r="O72" s="47">
        <v>125</v>
      </c>
      <c r="P72" s="47">
        <v>47</v>
      </c>
      <c r="Q72" s="47">
        <v>132</v>
      </c>
      <c r="R72" s="47">
        <v>100</v>
      </c>
      <c r="S72" s="57">
        <v>11</v>
      </c>
      <c r="T72" s="47">
        <v>253</v>
      </c>
      <c r="U72" s="47">
        <v>164</v>
      </c>
      <c r="V72" s="47">
        <v>137</v>
      </c>
      <c r="W72" s="47">
        <v>105</v>
      </c>
      <c r="X72" s="47">
        <v>167</v>
      </c>
      <c r="Y72" s="47">
        <v>25</v>
      </c>
      <c r="Z72" s="47">
        <v>163</v>
      </c>
      <c r="AA72" s="47">
        <v>245</v>
      </c>
      <c r="AB72" s="47">
        <v>106</v>
      </c>
      <c r="AC72" s="47">
        <v>89</v>
      </c>
      <c r="AD72" s="47">
        <v>100</v>
      </c>
      <c r="AE72" s="47">
        <v>73</v>
      </c>
      <c r="AF72" s="47" t="s">
        <v>172</v>
      </c>
      <c r="AG72" s="47">
        <v>44</v>
      </c>
      <c r="AH72" s="47">
        <v>136</v>
      </c>
      <c r="AI72" s="47">
        <v>44</v>
      </c>
      <c r="AJ72" s="47">
        <v>261</v>
      </c>
      <c r="AK72" s="47">
        <v>67</v>
      </c>
      <c r="AL72" s="47">
        <v>30</v>
      </c>
      <c r="AM72" s="57">
        <f t="shared" si="0"/>
        <v>3377</v>
      </c>
      <c r="AN72" s="38"/>
    </row>
    <row r="73" spans="1:40" ht="15.75" x14ac:dyDescent="0.3">
      <c r="A73" s="5" t="s">
        <v>150</v>
      </c>
      <c r="B73" s="6"/>
      <c r="C73" s="6" t="s">
        <v>144</v>
      </c>
      <c r="D73" s="10" t="s">
        <v>185</v>
      </c>
      <c r="E73" s="8" t="s">
        <v>70</v>
      </c>
      <c r="F73" s="8">
        <v>2024</v>
      </c>
      <c r="G73" s="47">
        <v>33</v>
      </c>
      <c r="H73" s="47">
        <v>181</v>
      </c>
      <c r="I73" s="47">
        <v>45</v>
      </c>
      <c r="J73" s="47">
        <v>94</v>
      </c>
      <c r="K73" s="47">
        <v>165</v>
      </c>
      <c r="L73" s="47">
        <v>50</v>
      </c>
      <c r="M73" s="47">
        <v>185</v>
      </c>
      <c r="N73" s="47">
        <v>205</v>
      </c>
      <c r="O73" s="47">
        <v>198</v>
      </c>
      <c r="P73" s="47">
        <v>88</v>
      </c>
      <c r="Q73" s="47">
        <v>211</v>
      </c>
      <c r="R73" s="47">
        <v>155</v>
      </c>
      <c r="S73" s="57">
        <v>129</v>
      </c>
      <c r="T73" s="47">
        <v>431</v>
      </c>
      <c r="U73" s="47">
        <v>163</v>
      </c>
      <c r="V73" s="47">
        <v>194</v>
      </c>
      <c r="W73" s="47">
        <v>157</v>
      </c>
      <c r="X73" s="47">
        <v>248</v>
      </c>
      <c r="Y73" s="47">
        <v>61</v>
      </c>
      <c r="Z73" s="47">
        <v>191</v>
      </c>
      <c r="AA73" s="47">
        <v>311</v>
      </c>
      <c r="AB73" s="47">
        <v>142</v>
      </c>
      <c r="AC73" s="47">
        <v>306</v>
      </c>
      <c r="AD73" s="47">
        <v>117</v>
      </c>
      <c r="AE73" s="47">
        <v>97</v>
      </c>
      <c r="AF73" s="47" t="s">
        <v>172</v>
      </c>
      <c r="AG73" s="47">
        <v>72</v>
      </c>
      <c r="AH73" s="47">
        <v>223</v>
      </c>
      <c r="AI73" s="47">
        <v>24</v>
      </c>
      <c r="AJ73" s="47">
        <v>368</v>
      </c>
      <c r="AK73" s="47">
        <v>137</v>
      </c>
      <c r="AL73" s="47">
        <v>60</v>
      </c>
      <c r="AM73" s="57">
        <f t="shared" si="0"/>
        <v>5041</v>
      </c>
      <c r="AN73" s="38"/>
    </row>
    <row r="74" spans="1:40" ht="15.75" x14ac:dyDescent="0.3">
      <c r="A74" s="5" t="s">
        <v>151</v>
      </c>
      <c r="B74" s="6"/>
      <c r="C74" s="6" t="s">
        <v>144</v>
      </c>
      <c r="D74" s="10" t="s">
        <v>185</v>
      </c>
      <c r="E74" s="8" t="s">
        <v>70</v>
      </c>
      <c r="F74" s="8">
        <v>2024</v>
      </c>
      <c r="G74" s="47">
        <v>29</v>
      </c>
      <c r="H74" s="47">
        <v>107</v>
      </c>
      <c r="I74" s="47">
        <v>42</v>
      </c>
      <c r="J74" s="47">
        <v>31</v>
      </c>
      <c r="K74" s="47">
        <v>67</v>
      </c>
      <c r="L74" s="47">
        <v>49</v>
      </c>
      <c r="M74" s="47">
        <v>100</v>
      </c>
      <c r="N74" s="47">
        <v>63</v>
      </c>
      <c r="O74" s="47">
        <v>161</v>
      </c>
      <c r="P74" s="47">
        <v>58</v>
      </c>
      <c r="Q74" s="47">
        <v>152</v>
      </c>
      <c r="R74" s="47">
        <v>72</v>
      </c>
      <c r="S74" s="57">
        <v>41</v>
      </c>
      <c r="T74" s="47">
        <v>326</v>
      </c>
      <c r="U74" s="47">
        <v>93</v>
      </c>
      <c r="V74" s="47">
        <v>91</v>
      </c>
      <c r="W74" s="47">
        <v>79</v>
      </c>
      <c r="X74" s="47">
        <v>44</v>
      </c>
      <c r="Y74" s="47">
        <v>75</v>
      </c>
      <c r="Z74" s="47">
        <v>141</v>
      </c>
      <c r="AA74" s="47">
        <v>181</v>
      </c>
      <c r="AB74" s="47">
        <v>95</v>
      </c>
      <c r="AC74" s="47">
        <v>134</v>
      </c>
      <c r="AD74" s="47">
        <v>80</v>
      </c>
      <c r="AE74" s="47">
        <v>86</v>
      </c>
      <c r="AF74" s="47" t="s">
        <v>172</v>
      </c>
      <c r="AG74" s="47">
        <v>29</v>
      </c>
      <c r="AH74" s="47">
        <v>122</v>
      </c>
      <c r="AI74" s="47">
        <v>9</v>
      </c>
      <c r="AJ74" s="47">
        <v>181</v>
      </c>
      <c r="AK74" s="47">
        <v>77</v>
      </c>
      <c r="AL74" s="47">
        <v>50</v>
      </c>
      <c r="AM74" s="57">
        <f t="shared" si="0"/>
        <v>2865</v>
      </c>
      <c r="AN74" s="38"/>
    </row>
    <row r="75" spans="1:40" ht="15.75" x14ac:dyDescent="0.3">
      <c r="A75" s="5" t="s">
        <v>152</v>
      </c>
      <c r="B75" s="6"/>
      <c r="C75" s="6" t="s">
        <v>144</v>
      </c>
      <c r="D75" s="10" t="s">
        <v>185</v>
      </c>
      <c r="E75" s="8" t="s">
        <v>70</v>
      </c>
      <c r="F75" s="8">
        <v>2024</v>
      </c>
      <c r="G75" s="47">
        <v>10</v>
      </c>
      <c r="H75" s="47">
        <v>38</v>
      </c>
      <c r="I75" s="47">
        <v>87</v>
      </c>
      <c r="J75" s="47">
        <v>31</v>
      </c>
      <c r="K75" s="47">
        <v>21</v>
      </c>
      <c r="L75" s="47">
        <v>9</v>
      </c>
      <c r="M75" s="47">
        <v>27</v>
      </c>
      <c r="N75" s="47">
        <v>42</v>
      </c>
      <c r="O75" s="47">
        <v>103</v>
      </c>
      <c r="P75" s="47">
        <v>5</v>
      </c>
      <c r="Q75" s="47">
        <v>171</v>
      </c>
      <c r="R75" s="47">
        <v>32</v>
      </c>
      <c r="S75" s="57">
        <v>20</v>
      </c>
      <c r="T75" s="47">
        <v>165</v>
      </c>
      <c r="U75" s="47">
        <v>27</v>
      </c>
      <c r="V75" s="47">
        <v>36</v>
      </c>
      <c r="W75" s="47">
        <v>44</v>
      </c>
      <c r="X75" s="47">
        <v>50</v>
      </c>
      <c r="Y75" s="47">
        <v>53</v>
      </c>
      <c r="Z75" s="47">
        <v>46</v>
      </c>
      <c r="AA75" s="47">
        <v>76</v>
      </c>
      <c r="AB75" s="47">
        <v>51</v>
      </c>
      <c r="AC75" s="47">
        <v>255</v>
      </c>
      <c r="AD75" s="47">
        <v>16</v>
      </c>
      <c r="AE75" s="47">
        <v>36</v>
      </c>
      <c r="AF75" s="47">
        <v>1</v>
      </c>
      <c r="AG75" s="47">
        <v>7</v>
      </c>
      <c r="AH75" s="47">
        <v>42</v>
      </c>
      <c r="AI75" s="47">
        <v>0</v>
      </c>
      <c r="AJ75" s="47">
        <v>18</v>
      </c>
      <c r="AK75" s="47">
        <v>113</v>
      </c>
      <c r="AL75" s="47">
        <v>10</v>
      </c>
      <c r="AM75" s="57">
        <f t="shared" si="0"/>
        <v>1642</v>
      </c>
      <c r="AN75" s="38"/>
    </row>
    <row r="76" spans="1:40" ht="15.75" x14ac:dyDescent="0.3">
      <c r="A76" s="5" t="s">
        <v>153</v>
      </c>
      <c r="B76" s="6"/>
      <c r="C76" s="6" t="s">
        <v>144</v>
      </c>
      <c r="D76" s="10" t="s">
        <v>185</v>
      </c>
      <c r="E76" s="8" t="s">
        <v>70</v>
      </c>
      <c r="F76" s="8">
        <v>2024</v>
      </c>
      <c r="G76" s="47">
        <v>322</v>
      </c>
      <c r="H76" s="47" t="s">
        <v>154</v>
      </c>
      <c r="I76" s="47">
        <v>406</v>
      </c>
      <c r="J76" s="47">
        <v>1098</v>
      </c>
      <c r="K76" s="47">
        <v>165</v>
      </c>
      <c r="L76" s="47">
        <v>398</v>
      </c>
      <c r="M76" s="47">
        <v>6132</v>
      </c>
      <c r="N76" s="47">
        <v>4162</v>
      </c>
      <c r="O76" s="47">
        <v>9616</v>
      </c>
      <c r="P76" s="47">
        <v>428</v>
      </c>
      <c r="Q76" s="47">
        <v>1661</v>
      </c>
      <c r="R76" s="47">
        <v>581</v>
      </c>
      <c r="S76" s="57">
        <v>740</v>
      </c>
      <c r="T76" s="47">
        <v>5198</v>
      </c>
      <c r="U76" s="47">
        <v>2887</v>
      </c>
      <c r="V76" s="47">
        <v>1256</v>
      </c>
      <c r="W76" s="47">
        <v>836</v>
      </c>
      <c r="X76" s="47">
        <v>1367</v>
      </c>
      <c r="Y76" s="47">
        <v>867</v>
      </c>
      <c r="Z76" s="47">
        <v>1946</v>
      </c>
      <c r="AA76" s="47">
        <v>2931</v>
      </c>
      <c r="AB76" s="47">
        <v>878</v>
      </c>
      <c r="AC76" s="47">
        <v>1162</v>
      </c>
      <c r="AD76" s="47">
        <v>1626</v>
      </c>
      <c r="AE76" s="47">
        <v>597</v>
      </c>
      <c r="AF76" s="47" t="s">
        <v>172</v>
      </c>
      <c r="AG76" s="47">
        <v>1472</v>
      </c>
      <c r="AH76" s="47">
        <v>2488</v>
      </c>
      <c r="AI76" s="47">
        <v>503</v>
      </c>
      <c r="AJ76" s="47">
        <v>4328</v>
      </c>
      <c r="AK76" s="47">
        <v>983</v>
      </c>
      <c r="AL76" s="47">
        <v>799</v>
      </c>
      <c r="AM76" s="57">
        <f t="shared" si="0"/>
        <v>57833</v>
      </c>
      <c r="AN76" s="38"/>
    </row>
    <row r="77" spans="1:40" ht="15.75" x14ac:dyDescent="0.3">
      <c r="A77" s="5" t="s">
        <v>155</v>
      </c>
      <c r="B77" s="6"/>
      <c r="C77" s="6" t="s">
        <v>144</v>
      </c>
      <c r="D77" s="10" t="s">
        <v>185</v>
      </c>
      <c r="E77" s="8" t="s">
        <v>70</v>
      </c>
      <c r="F77" s="8">
        <v>2024</v>
      </c>
      <c r="G77" s="47">
        <v>738</v>
      </c>
      <c r="H77" s="47" t="s">
        <v>156</v>
      </c>
      <c r="I77" s="47">
        <v>539</v>
      </c>
      <c r="J77" s="47">
        <v>1069</v>
      </c>
      <c r="K77" s="47">
        <v>1159</v>
      </c>
      <c r="L77" s="47">
        <v>821</v>
      </c>
      <c r="M77" s="47">
        <v>3683</v>
      </c>
      <c r="N77" s="47">
        <v>4006</v>
      </c>
      <c r="O77" s="47">
        <v>7003</v>
      </c>
      <c r="P77" s="47">
        <v>769</v>
      </c>
      <c r="Q77" s="47">
        <v>2998</v>
      </c>
      <c r="R77" s="47">
        <v>1848</v>
      </c>
      <c r="S77" s="57">
        <v>2676</v>
      </c>
      <c r="T77" s="47">
        <v>5368</v>
      </c>
      <c r="U77" s="47">
        <v>3233</v>
      </c>
      <c r="V77" s="47">
        <v>3102</v>
      </c>
      <c r="W77" s="47">
        <v>1571</v>
      </c>
      <c r="X77" s="47">
        <v>2740</v>
      </c>
      <c r="Y77" s="47">
        <v>782</v>
      </c>
      <c r="Z77" s="47">
        <v>3840</v>
      </c>
      <c r="AA77" s="47">
        <v>3181</v>
      </c>
      <c r="AB77" s="47">
        <v>2072</v>
      </c>
      <c r="AC77" s="47">
        <v>2282</v>
      </c>
      <c r="AD77" s="47">
        <v>2052</v>
      </c>
      <c r="AE77" s="47">
        <v>1780</v>
      </c>
      <c r="AF77" s="47" t="s">
        <v>172</v>
      </c>
      <c r="AG77" s="47">
        <v>1129</v>
      </c>
      <c r="AH77" s="47">
        <v>8644</v>
      </c>
      <c r="AI77" s="47">
        <v>711</v>
      </c>
      <c r="AJ77" s="47">
        <v>6258</v>
      </c>
      <c r="AK77" s="47">
        <v>1196</v>
      </c>
      <c r="AL77" s="47">
        <v>558</v>
      </c>
      <c r="AM77" s="57">
        <f t="shared" si="0"/>
        <v>77808</v>
      </c>
      <c r="AN77" s="38"/>
    </row>
    <row r="78" spans="1:40" ht="15.75" x14ac:dyDescent="0.3">
      <c r="A78" s="5" t="s">
        <v>157</v>
      </c>
      <c r="B78" s="6"/>
      <c r="C78" s="6" t="s">
        <v>144</v>
      </c>
      <c r="D78" s="10" t="s">
        <v>185</v>
      </c>
      <c r="E78" s="8" t="s">
        <v>70</v>
      </c>
      <c r="F78" s="8">
        <v>2024</v>
      </c>
      <c r="G78" s="47">
        <v>1697</v>
      </c>
      <c r="H78" s="47" t="s">
        <v>158</v>
      </c>
      <c r="I78" s="47">
        <v>2080</v>
      </c>
      <c r="J78" s="47">
        <v>2645</v>
      </c>
      <c r="K78" s="47">
        <v>4579</v>
      </c>
      <c r="L78" s="47">
        <v>1385</v>
      </c>
      <c r="M78" s="47">
        <v>5149</v>
      </c>
      <c r="N78" s="47">
        <v>6626</v>
      </c>
      <c r="O78" s="47">
        <v>12297</v>
      </c>
      <c r="P78" s="47">
        <v>2400</v>
      </c>
      <c r="Q78" s="47">
        <v>6371</v>
      </c>
      <c r="R78" s="47">
        <v>3252</v>
      </c>
      <c r="S78" s="57">
        <v>3907</v>
      </c>
      <c r="T78" s="47">
        <v>13756</v>
      </c>
      <c r="U78" s="47">
        <v>5567</v>
      </c>
      <c r="V78" s="47">
        <v>5356</v>
      </c>
      <c r="W78" s="47">
        <v>4212</v>
      </c>
      <c r="X78" s="47">
        <v>5966</v>
      </c>
      <c r="Y78" s="47">
        <v>3062</v>
      </c>
      <c r="Z78" s="47">
        <v>4699</v>
      </c>
      <c r="AA78" s="47">
        <v>7046</v>
      </c>
      <c r="AB78" s="47">
        <v>4402</v>
      </c>
      <c r="AC78" s="47">
        <v>10959</v>
      </c>
      <c r="AD78" s="47">
        <v>3882</v>
      </c>
      <c r="AE78" s="47">
        <v>3330</v>
      </c>
      <c r="AF78" s="47" t="s">
        <v>172</v>
      </c>
      <c r="AG78" s="47">
        <v>2822</v>
      </c>
      <c r="AH78" s="47">
        <v>8207</v>
      </c>
      <c r="AI78" s="47">
        <v>758</v>
      </c>
      <c r="AJ78" s="47">
        <v>11679</v>
      </c>
      <c r="AK78" s="47">
        <v>3395</v>
      </c>
      <c r="AL78" s="47">
        <v>1601</v>
      </c>
      <c r="AM78" s="57">
        <f t="shared" si="0"/>
        <v>153087</v>
      </c>
      <c r="AN78" s="38"/>
    </row>
    <row r="79" spans="1:40" ht="15.75" x14ac:dyDescent="0.3">
      <c r="A79" s="5" t="s">
        <v>159</v>
      </c>
      <c r="B79" s="6"/>
      <c r="C79" s="6" t="s">
        <v>144</v>
      </c>
      <c r="D79" s="10" t="s">
        <v>185</v>
      </c>
      <c r="E79" s="8" t="s">
        <v>70</v>
      </c>
      <c r="F79" s="8">
        <v>2024</v>
      </c>
      <c r="G79" s="47">
        <v>3016</v>
      </c>
      <c r="H79" s="47" t="s">
        <v>160</v>
      </c>
      <c r="I79" s="47">
        <v>3112</v>
      </c>
      <c r="J79" s="47">
        <v>2342</v>
      </c>
      <c r="K79" s="47">
        <v>4849</v>
      </c>
      <c r="L79" s="47">
        <v>3005</v>
      </c>
      <c r="M79" s="47">
        <v>4193</v>
      </c>
      <c r="N79" s="47">
        <v>4422</v>
      </c>
      <c r="O79" s="47">
        <v>13779</v>
      </c>
      <c r="P79" s="47">
        <v>1764</v>
      </c>
      <c r="Q79" s="47">
        <v>10571</v>
      </c>
      <c r="R79" s="47">
        <v>4354</v>
      </c>
      <c r="S79" s="57">
        <v>1568</v>
      </c>
      <c r="T79" s="47">
        <v>20354</v>
      </c>
      <c r="U79" s="47">
        <v>5952</v>
      </c>
      <c r="V79" s="47">
        <v>4403</v>
      </c>
      <c r="W79" s="47">
        <v>2720</v>
      </c>
      <c r="X79" s="47">
        <v>2755</v>
      </c>
      <c r="Y79" s="47">
        <v>7714</v>
      </c>
      <c r="Z79" s="47">
        <v>5544</v>
      </c>
      <c r="AA79" s="47">
        <v>7711</v>
      </c>
      <c r="AB79" s="47">
        <v>5576</v>
      </c>
      <c r="AC79" s="47">
        <v>17173</v>
      </c>
      <c r="AD79" s="47">
        <v>4218</v>
      </c>
      <c r="AE79" s="47">
        <v>7223</v>
      </c>
      <c r="AF79" s="47" t="s">
        <v>172</v>
      </c>
      <c r="AG79" s="47">
        <v>2416</v>
      </c>
      <c r="AH79" s="47">
        <v>3537</v>
      </c>
      <c r="AI79" s="47">
        <v>520</v>
      </c>
      <c r="AJ79" s="47">
        <v>10111</v>
      </c>
      <c r="AK79" s="47">
        <v>3837</v>
      </c>
      <c r="AL79" s="47">
        <v>2415</v>
      </c>
      <c r="AM79" s="57">
        <f t="shared" si="0"/>
        <v>171154</v>
      </c>
      <c r="AN79" s="38"/>
    </row>
    <row r="80" spans="1:40" ht="15.75" x14ac:dyDescent="0.3">
      <c r="A80" s="5" t="s">
        <v>161</v>
      </c>
      <c r="B80" s="6"/>
      <c r="C80" s="6" t="s">
        <v>144</v>
      </c>
      <c r="D80" s="10" t="s">
        <v>185</v>
      </c>
      <c r="E80" s="8" t="s">
        <v>70</v>
      </c>
      <c r="F80" s="8">
        <v>2024</v>
      </c>
      <c r="G80" s="47">
        <v>725</v>
      </c>
      <c r="H80" s="47" t="s">
        <v>162</v>
      </c>
      <c r="I80" s="47">
        <v>17822</v>
      </c>
      <c r="J80" s="47">
        <v>432</v>
      </c>
      <c r="K80" s="47">
        <v>2298</v>
      </c>
      <c r="L80" s="47">
        <v>1200</v>
      </c>
      <c r="M80" s="47">
        <v>1392</v>
      </c>
      <c r="N80" s="47">
        <v>4177</v>
      </c>
      <c r="O80" s="47">
        <v>17790</v>
      </c>
      <c r="P80" s="47">
        <v>356</v>
      </c>
      <c r="Q80" s="47">
        <v>4229</v>
      </c>
      <c r="R80" s="47">
        <v>4115</v>
      </c>
      <c r="S80" s="57">
        <v>1033</v>
      </c>
      <c r="T80" s="47">
        <v>15962</v>
      </c>
      <c r="U80" s="47">
        <v>1532</v>
      </c>
      <c r="V80" s="47">
        <v>1259</v>
      </c>
      <c r="W80" s="47">
        <v>2005</v>
      </c>
      <c r="X80" s="47">
        <v>11301</v>
      </c>
      <c r="Y80" s="47">
        <v>8153</v>
      </c>
      <c r="Z80" s="47">
        <v>3307</v>
      </c>
      <c r="AA80" s="47">
        <v>3804</v>
      </c>
      <c r="AB80" s="47">
        <v>2768</v>
      </c>
      <c r="AC80" s="47">
        <v>93473</v>
      </c>
      <c r="AD80" s="47">
        <v>1504</v>
      </c>
      <c r="AE80" s="47">
        <v>6854</v>
      </c>
      <c r="AF80" s="47">
        <v>220</v>
      </c>
      <c r="AG80" s="47">
        <v>1159</v>
      </c>
      <c r="AH80" s="47">
        <v>1103</v>
      </c>
      <c r="AI80" s="47">
        <v>0</v>
      </c>
      <c r="AJ80" s="47">
        <v>2238</v>
      </c>
      <c r="AK80" s="47">
        <v>4380</v>
      </c>
      <c r="AL80" s="47">
        <v>636</v>
      </c>
      <c r="AM80" s="57">
        <f t="shared" si="0"/>
        <v>217227</v>
      </c>
      <c r="AN80" s="38"/>
    </row>
    <row r="81" spans="1:40" ht="15.75" x14ac:dyDescent="0.3">
      <c r="A81" s="5" t="s">
        <v>163</v>
      </c>
      <c r="B81" s="6"/>
      <c r="C81" s="6" t="s">
        <v>144</v>
      </c>
      <c r="D81" s="10" t="s">
        <v>185</v>
      </c>
      <c r="E81" s="8" t="s">
        <v>70</v>
      </c>
      <c r="F81" s="8">
        <v>2024</v>
      </c>
      <c r="G81" s="47">
        <v>1481</v>
      </c>
      <c r="H81" s="47" t="s">
        <v>164</v>
      </c>
      <c r="I81" s="47">
        <v>4706</v>
      </c>
      <c r="J81" s="47">
        <v>504</v>
      </c>
      <c r="K81" s="47">
        <v>2369</v>
      </c>
      <c r="L81" s="47">
        <v>2111</v>
      </c>
      <c r="M81" s="47">
        <v>3696</v>
      </c>
      <c r="N81" s="47">
        <v>0</v>
      </c>
      <c r="O81" s="47">
        <v>0</v>
      </c>
      <c r="P81" s="47">
        <v>1900</v>
      </c>
      <c r="Q81" s="47">
        <v>6735</v>
      </c>
      <c r="R81" s="47">
        <v>3122</v>
      </c>
      <c r="S81" s="57">
        <v>6081</v>
      </c>
      <c r="T81" s="47">
        <v>22140</v>
      </c>
      <c r="U81" s="47">
        <v>4320</v>
      </c>
      <c r="V81" s="47">
        <v>2784</v>
      </c>
      <c r="W81" s="47">
        <v>2153</v>
      </c>
      <c r="X81" s="47">
        <v>3247</v>
      </c>
      <c r="Y81" s="47">
        <v>3091</v>
      </c>
      <c r="Z81" s="47">
        <v>11864</v>
      </c>
      <c r="AA81" s="47">
        <v>7002</v>
      </c>
      <c r="AB81" s="47">
        <v>4555</v>
      </c>
      <c r="AC81" s="47">
        <v>5074</v>
      </c>
      <c r="AD81" s="47">
        <v>3322</v>
      </c>
      <c r="AE81" s="47">
        <v>4745</v>
      </c>
      <c r="AF81" s="47">
        <v>11951</v>
      </c>
      <c r="AG81" s="47">
        <v>4303</v>
      </c>
      <c r="AH81" s="47">
        <v>4284</v>
      </c>
      <c r="AI81" s="47">
        <v>3486</v>
      </c>
      <c r="AJ81" s="47">
        <v>17369</v>
      </c>
      <c r="AK81" s="47">
        <v>2692</v>
      </c>
      <c r="AL81" s="47">
        <v>1610</v>
      </c>
      <c r="AM81" s="57">
        <f t="shared" si="0"/>
        <v>152697</v>
      </c>
      <c r="AN81" s="38"/>
    </row>
    <row r="82" spans="1:40" ht="15.75" x14ac:dyDescent="0.3">
      <c r="A82" s="5" t="s">
        <v>165</v>
      </c>
      <c r="B82" s="6"/>
      <c r="C82" s="6" t="s">
        <v>166</v>
      </c>
      <c r="D82" s="10" t="s">
        <v>308</v>
      </c>
      <c r="E82" s="8" t="s">
        <v>70</v>
      </c>
      <c r="F82" s="8">
        <v>2023</v>
      </c>
      <c r="G82" s="47">
        <v>1124464.8999999999</v>
      </c>
      <c r="H82" s="47">
        <v>4797393.22</v>
      </c>
      <c r="I82" s="47">
        <v>4011174.93</v>
      </c>
      <c r="J82" s="47">
        <v>1524966.95</v>
      </c>
      <c r="K82" s="47">
        <v>2272479.4900000002</v>
      </c>
      <c r="L82" s="47">
        <v>1903055.87</v>
      </c>
      <c r="M82" s="47">
        <v>4187751.82</v>
      </c>
      <c r="N82" s="47">
        <v>5746126.8399999999</v>
      </c>
      <c r="O82" s="47">
        <v>11993059</v>
      </c>
      <c r="P82" s="47">
        <v>881101.53</v>
      </c>
      <c r="Q82" s="47">
        <v>4707407</v>
      </c>
      <c r="R82" s="47">
        <v>8408251.5099999998</v>
      </c>
      <c r="S82" s="57">
        <v>2849393</v>
      </c>
      <c r="T82" s="47">
        <v>11068920.57</v>
      </c>
      <c r="U82" s="47">
        <v>3318512</v>
      </c>
      <c r="V82" s="47">
        <v>2757831.98</v>
      </c>
      <c r="W82" s="47">
        <v>1826800.77</v>
      </c>
      <c r="X82" s="47">
        <v>2619118.08</v>
      </c>
      <c r="Y82" s="47">
        <v>3904998.83</v>
      </c>
      <c r="Z82" s="47">
        <v>3977530.68</v>
      </c>
      <c r="AA82" s="47">
        <v>6305538</v>
      </c>
      <c r="AB82" s="47">
        <v>2689132.5999999996</v>
      </c>
      <c r="AC82" s="47">
        <v>16882013.880000003</v>
      </c>
      <c r="AD82" s="47">
        <v>2056209.75</v>
      </c>
      <c r="AE82" s="47">
        <v>4708991.8</v>
      </c>
      <c r="AF82" s="47">
        <v>2509661.0099999998</v>
      </c>
      <c r="AG82" s="47">
        <v>1485636.1500000001</v>
      </c>
      <c r="AH82" s="47">
        <v>3425337.88</v>
      </c>
      <c r="AI82" s="47">
        <v>420105.04</v>
      </c>
      <c r="AJ82" s="47">
        <v>5758567.0199999996</v>
      </c>
      <c r="AK82" s="47">
        <v>3042916.98</v>
      </c>
      <c r="AL82" s="47">
        <v>615330.77999999991</v>
      </c>
      <c r="AM82" s="57">
        <v>133779779.86</v>
      </c>
      <c r="AN82" s="38"/>
    </row>
    <row r="83" spans="1:40" ht="15.75" x14ac:dyDescent="0.3">
      <c r="A83" s="5" t="s">
        <v>167</v>
      </c>
      <c r="B83" s="6"/>
      <c r="C83" s="6" t="s">
        <v>166</v>
      </c>
      <c r="D83" s="10" t="s">
        <v>308</v>
      </c>
      <c r="E83" s="8" t="s">
        <v>70</v>
      </c>
      <c r="F83" s="8">
        <v>2023</v>
      </c>
      <c r="G83" s="47">
        <v>152533.14000000001</v>
      </c>
      <c r="H83" s="47">
        <v>1715782.47</v>
      </c>
      <c r="I83" s="47">
        <v>2571128.7200000002</v>
      </c>
      <c r="J83" s="47">
        <v>192266.26</v>
      </c>
      <c r="K83" s="47">
        <v>300488.5</v>
      </c>
      <c r="L83" s="47">
        <v>48824.25</v>
      </c>
      <c r="M83" s="47">
        <v>630802.43999999994</v>
      </c>
      <c r="N83" s="47">
        <v>532878.97</v>
      </c>
      <c r="O83" s="47">
        <v>3093694</v>
      </c>
      <c r="P83" s="47">
        <v>12751.37</v>
      </c>
      <c r="Q83" s="47">
        <v>243933</v>
      </c>
      <c r="R83" s="47">
        <v>187665.26</v>
      </c>
      <c r="S83" s="57">
        <v>107050</v>
      </c>
      <c r="T83" s="47">
        <v>1670341.16</v>
      </c>
      <c r="U83" s="47">
        <v>192554.18</v>
      </c>
      <c r="V83" s="47">
        <v>319486.36</v>
      </c>
      <c r="W83" s="47">
        <v>225634.45</v>
      </c>
      <c r="X83" s="47">
        <v>775187.55</v>
      </c>
      <c r="Y83" s="47">
        <v>644964.68999999994</v>
      </c>
      <c r="Z83" s="47">
        <v>315103.18</v>
      </c>
      <c r="AA83" s="47">
        <v>703776</v>
      </c>
      <c r="AB83" s="47">
        <v>178857.05</v>
      </c>
      <c r="AC83" s="47">
        <v>12879888.390000001</v>
      </c>
      <c r="AD83" s="47">
        <v>106357.94</v>
      </c>
      <c r="AE83" s="47">
        <v>617947.30000000005</v>
      </c>
      <c r="AF83" s="47">
        <v>256863.42</v>
      </c>
      <c r="AG83" s="47">
        <v>68892.34</v>
      </c>
      <c r="AH83" s="47">
        <v>239558.25</v>
      </c>
      <c r="AI83" s="47">
        <v>61967.98</v>
      </c>
      <c r="AJ83" s="47">
        <v>280524.92</v>
      </c>
      <c r="AK83" s="47">
        <v>550196.88</v>
      </c>
      <c r="AL83" s="47">
        <v>44594.2</v>
      </c>
      <c r="AM83" s="57">
        <v>29922494.620000005</v>
      </c>
      <c r="AN83" s="38"/>
    </row>
    <row r="84" spans="1:40" ht="15.75" x14ac:dyDescent="0.3">
      <c r="A84" s="5" t="s">
        <v>168</v>
      </c>
      <c r="B84" s="6"/>
      <c r="C84" s="6" t="s">
        <v>166</v>
      </c>
      <c r="D84" s="10" t="s">
        <v>308</v>
      </c>
      <c r="E84" s="8" t="s">
        <v>70</v>
      </c>
      <c r="F84" s="8">
        <v>2023</v>
      </c>
      <c r="G84" s="47">
        <v>971931.76</v>
      </c>
      <c r="H84" s="47">
        <v>3081610.75</v>
      </c>
      <c r="I84" s="47">
        <v>1440046.21</v>
      </c>
      <c r="J84" s="47">
        <v>1332700.69</v>
      </c>
      <c r="K84" s="47">
        <v>1971990.99</v>
      </c>
      <c r="L84" s="47">
        <v>1854231.62</v>
      </c>
      <c r="M84" s="47">
        <v>3556949.38</v>
      </c>
      <c r="N84" s="47">
        <v>5213247.87</v>
      </c>
      <c r="O84" s="47">
        <v>8899365</v>
      </c>
      <c r="P84" s="47">
        <v>868350.16</v>
      </c>
      <c r="Q84" s="47">
        <v>4463474</v>
      </c>
      <c r="R84" s="47">
        <v>8220586.25</v>
      </c>
      <c r="S84" s="57">
        <v>2742343</v>
      </c>
      <c r="T84" s="47">
        <v>9398579.4100000001</v>
      </c>
      <c r="U84" s="47">
        <v>3125957.82</v>
      </c>
      <c r="V84" s="47">
        <v>2438345.62</v>
      </c>
      <c r="W84" s="47">
        <v>1601166.32</v>
      </c>
      <c r="X84" s="47">
        <v>1843930.53</v>
      </c>
      <c r="Y84" s="47">
        <v>3260034.14</v>
      </c>
      <c r="Z84" s="47">
        <v>3662427.5</v>
      </c>
      <c r="AA84" s="47">
        <v>5601762</v>
      </c>
      <c r="AB84" s="47">
        <v>2510275.5499999998</v>
      </c>
      <c r="AC84" s="47">
        <v>4002125.49</v>
      </c>
      <c r="AD84" s="47">
        <v>1949851.81</v>
      </c>
      <c r="AE84" s="47">
        <v>4091044.5</v>
      </c>
      <c r="AF84" s="47">
        <v>2252797.59</v>
      </c>
      <c r="AG84" s="47">
        <v>1416743.81</v>
      </c>
      <c r="AH84" s="47">
        <v>3185779.63</v>
      </c>
      <c r="AI84" s="47">
        <v>358137.06</v>
      </c>
      <c r="AJ84" s="47">
        <v>5478042.0999999996</v>
      </c>
      <c r="AK84" s="47">
        <v>2492720.1</v>
      </c>
      <c r="AL84" s="47">
        <v>570736.57999999996</v>
      </c>
      <c r="AM84" s="57">
        <v>103857285.23999999</v>
      </c>
      <c r="AN84" s="38"/>
    </row>
    <row r="85" spans="1:40" ht="15.75" x14ac:dyDescent="0.3">
      <c r="A85" s="5" t="s">
        <v>169</v>
      </c>
      <c r="B85" s="6"/>
      <c r="C85" s="6" t="s">
        <v>166</v>
      </c>
      <c r="D85" s="10" t="s">
        <v>308</v>
      </c>
      <c r="E85" s="8" t="s">
        <v>70</v>
      </c>
      <c r="F85" s="8">
        <v>2023</v>
      </c>
      <c r="G85" s="47">
        <v>2256959.7599999998</v>
      </c>
      <c r="H85" s="47">
        <v>9607977.3599999994</v>
      </c>
      <c r="I85" s="47">
        <v>8317663.2400000002</v>
      </c>
      <c r="J85" s="47">
        <v>2693178.68</v>
      </c>
      <c r="K85" s="47">
        <v>4561364.96</v>
      </c>
      <c r="L85" s="47">
        <v>2392465.42</v>
      </c>
      <c r="M85" s="47">
        <v>7144887.9500000002</v>
      </c>
      <c r="N85" s="47">
        <v>8111595.1799999997</v>
      </c>
      <c r="O85" s="47">
        <v>22387710</v>
      </c>
      <c r="P85" s="47">
        <v>1966875.1</v>
      </c>
      <c r="Q85" s="47">
        <v>8804227</v>
      </c>
      <c r="R85" s="47">
        <v>10130424.210000001</v>
      </c>
      <c r="S85" s="57">
        <v>3271554</v>
      </c>
      <c r="T85" s="47">
        <v>21771813.16</v>
      </c>
      <c r="U85" s="47">
        <v>6315598.4100000001</v>
      </c>
      <c r="V85" s="47">
        <v>5349938.1399999997</v>
      </c>
      <c r="W85" s="47">
        <v>3948480.06</v>
      </c>
      <c r="X85" s="47">
        <v>8170873.0300000003</v>
      </c>
      <c r="Y85" s="47">
        <v>7252769.8799999999</v>
      </c>
      <c r="Z85" s="47">
        <v>6822218.1699999999</v>
      </c>
      <c r="AA85" s="47">
        <v>8363958</v>
      </c>
      <c r="AB85" s="47">
        <v>4922261.28</v>
      </c>
      <c r="AC85" s="47">
        <v>44485287.619999997</v>
      </c>
      <c r="AD85" s="47">
        <v>4502140.43</v>
      </c>
      <c r="AE85" s="47">
        <v>6770272.4500000002</v>
      </c>
      <c r="AF85" s="47">
        <v>5591465.4400000004</v>
      </c>
      <c r="AG85" s="47">
        <v>3207809.63</v>
      </c>
      <c r="AH85" s="47">
        <v>7409291.9699999997</v>
      </c>
      <c r="AI85" s="47">
        <v>857371.58</v>
      </c>
      <c r="AJ85" s="47">
        <v>11148475.84</v>
      </c>
      <c r="AK85" s="47">
        <v>4845647.0199999996</v>
      </c>
      <c r="AL85" s="47">
        <v>2091528.83</v>
      </c>
      <c r="AM85" s="57">
        <v>255474083.80000001</v>
      </c>
      <c r="AN85" s="38"/>
    </row>
    <row r="86" spans="1:40" ht="15.75" x14ac:dyDescent="0.3">
      <c r="A86" s="5" t="s">
        <v>309</v>
      </c>
      <c r="B86" s="6"/>
      <c r="C86" s="6" t="s">
        <v>166</v>
      </c>
      <c r="D86" s="10" t="s">
        <v>308</v>
      </c>
      <c r="E86" s="8" t="s">
        <v>70</v>
      </c>
      <c r="F86" s="8">
        <v>2023</v>
      </c>
      <c r="G86" s="47">
        <v>48.9</v>
      </c>
      <c r="H86" s="47">
        <v>51.6</v>
      </c>
      <c r="I86" s="47">
        <v>71.3</v>
      </c>
      <c r="J86" s="47">
        <v>50.8</v>
      </c>
      <c r="K86" s="47">
        <v>48</v>
      </c>
      <c r="L86" s="47">
        <v>54.7</v>
      </c>
      <c r="M86" s="47">
        <v>36.200000000000003</v>
      </c>
      <c r="N86" s="47">
        <v>61.3</v>
      </c>
      <c r="O86" s="47">
        <v>57.5</v>
      </c>
      <c r="P86" s="47">
        <v>47.3</v>
      </c>
      <c r="Q86" s="47">
        <v>37</v>
      </c>
      <c r="R86" s="47">
        <v>38.799999999999997</v>
      </c>
      <c r="S86" s="57">
        <v>48.9</v>
      </c>
      <c r="T86" s="47">
        <v>57.5</v>
      </c>
      <c r="U86" s="47">
        <v>32.299999999999997</v>
      </c>
      <c r="V86" s="47">
        <v>50.5</v>
      </c>
      <c r="W86" s="47">
        <v>42.9</v>
      </c>
      <c r="X86" s="47">
        <v>63.1</v>
      </c>
      <c r="Y86" s="47">
        <v>62.1</v>
      </c>
      <c r="Z86" s="47">
        <v>51.6</v>
      </c>
      <c r="AA86" s="47">
        <v>48.4</v>
      </c>
      <c r="AB86" s="47">
        <v>54.1</v>
      </c>
      <c r="AC86" s="47">
        <v>74</v>
      </c>
      <c r="AD86" s="47">
        <v>52.5</v>
      </c>
      <c r="AE86" s="47">
        <v>61.8</v>
      </c>
      <c r="AF86" s="47">
        <v>51.9</v>
      </c>
      <c r="AG86" s="47">
        <v>47.7</v>
      </c>
      <c r="AH86" s="47">
        <v>39.700000000000003</v>
      </c>
      <c r="AI86" s="47">
        <v>31</v>
      </c>
      <c r="AJ86" s="47">
        <v>48.6</v>
      </c>
      <c r="AK86" s="47">
        <v>52.2</v>
      </c>
      <c r="AL86" s="47">
        <v>26.8</v>
      </c>
      <c r="AM86" s="57">
        <v>55.4</v>
      </c>
      <c r="AN86" s="38"/>
    </row>
    <row r="87" spans="1:40" ht="15.75" x14ac:dyDescent="0.3">
      <c r="A87" s="5" t="s">
        <v>170</v>
      </c>
      <c r="B87" s="6"/>
      <c r="C87" s="6" t="s">
        <v>171</v>
      </c>
      <c r="D87" s="25" t="s">
        <v>148</v>
      </c>
      <c r="E87" s="8" t="s">
        <v>70</v>
      </c>
      <c r="F87" s="8">
        <v>2024</v>
      </c>
      <c r="G87" s="47">
        <v>344</v>
      </c>
      <c r="H87" s="47">
        <v>1911</v>
      </c>
      <c r="I87" s="47">
        <v>1413</v>
      </c>
      <c r="J87" s="47">
        <v>1381</v>
      </c>
      <c r="K87" s="47">
        <v>1484</v>
      </c>
      <c r="L87" s="47">
        <v>447</v>
      </c>
      <c r="M87" s="47">
        <v>2655</v>
      </c>
      <c r="N87" s="47">
        <v>2626</v>
      </c>
      <c r="O87" s="47" t="s">
        <v>172</v>
      </c>
      <c r="P87" s="47">
        <v>2608</v>
      </c>
      <c r="Q87" s="47">
        <v>1014</v>
      </c>
      <c r="R87" s="47">
        <v>1941</v>
      </c>
      <c r="S87" s="57">
        <v>756</v>
      </c>
      <c r="T87" s="47">
        <v>2619</v>
      </c>
      <c r="U87" s="47">
        <v>793</v>
      </c>
      <c r="V87" s="47">
        <v>2698</v>
      </c>
      <c r="W87" s="47">
        <v>520</v>
      </c>
      <c r="X87" s="47">
        <v>1251</v>
      </c>
      <c r="Y87" s="47">
        <v>1254</v>
      </c>
      <c r="Z87" s="47">
        <v>3356</v>
      </c>
      <c r="AA87" s="47">
        <v>1696</v>
      </c>
      <c r="AB87" s="47">
        <v>709</v>
      </c>
      <c r="AC87" s="47">
        <v>950</v>
      </c>
      <c r="AD87" s="47">
        <v>2055</v>
      </c>
      <c r="AE87" s="47">
        <v>1316</v>
      </c>
      <c r="AF87" s="47">
        <v>2672</v>
      </c>
      <c r="AG87" s="47">
        <v>630</v>
      </c>
      <c r="AH87" s="47">
        <v>2271</v>
      </c>
      <c r="AI87" s="47">
        <v>694</v>
      </c>
      <c r="AJ87" s="47">
        <v>3513</v>
      </c>
      <c r="AK87" s="47">
        <v>1333</v>
      </c>
      <c r="AL87" s="47">
        <v>1613</v>
      </c>
      <c r="AM87" s="57"/>
      <c r="AN87" s="38"/>
    </row>
    <row r="88" spans="1:40" ht="15.75" x14ac:dyDescent="0.3">
      <c r="A88" s="5" t="s">
        <v>173</v>
      </c>
      <c r="B88" s="6"/>
      <c r="C88" s="6" t="s">
        <v>171</v>
      </c>
      <c r="D88" s="10" t="s">
        <v>148</v>
      </c>
      <c r="E88" s="8" t="s">
        <v>70</v>
      </c>
      <c r="F88" s="8">
        <v>2024</v>
      </c>
      <c r="G88" s="47">
        <v>1165</v>
      </c>
      <c r="H88" s="47">
        <v>1108</v>
      </c>
      <c r="I88" s="47">
        <v>1833</v>
      </c>
      <c r="J88" s="47">
        <v>1089</v>
      </c>
      <c r="K88" s="47">
        <v>3380</v>
      </c>
      <c r="L88" s="47">
        <v>858</v>
      </c>
      <c r="M88" s="47">
        <v>5019</v>
      </c>
      <c r="N88" s="47">
        <v>6900</v>
      </c>
      <c r="O88" s="47" t="s">
        <v>172</v>
      </c>
      <c r="P88" s="47">
        <v>3692</v>
      </c>
      <c r="Q88" s="47">
        <v>2860</v>
      </c>
      <c r="R88" s="47">
        <v>5357</v>
      </c>
      <c r="S88" s="57">
        <v>2809</v>
      </c>
      <c r="T88" s="47">
        <v>12485</v>
      </c>
      <c r="U88" s="47">
        <v>4327</v>
      </c>
      <c r="V88" s="47">
        <v>3027</v>
      </c>
      <c r="W88" s="47">
        <v>1292</v>
      </c>
      <c r="X88" s="47">
        <v>2087</v>
      </c>
      <c r="Y88" s="47">
        <v>3324</v>
      </c>
      <c r="Z88" s="47">
        <v>4638</v>
      </c>
      <c r="AA88" s="47">
        <v>5436</v>
      </c>
      <c r="AB88" s="47">
        <v>1187</v>
      </c>
      <c r="AC88" s="47">
        <v>2570</v>
      </c>
      <c r="AD88" s="47">
        <v>5857</v>
      </c>
      <c r="AE88" s="47">
        <v>3704</v>
      </c>
      <c r="AF88" s="47">
        <v>5090</v>
      </c>
      <c r="AG88" s="47">
        <v>5489</v>
      </c>
      <c r="AH88" s="47">
        <v>2837</v>
      </c>
      <c r="AI88" s="47">
        <v>1121</v>
      </c>
      <c r="AJ88" s="47">
        <v>8158</v>
      </c>
      <c r="AK88" s="47">
        <v>4731</v>
      </c>
      <c r="AL88" s="47">
        <v>4934</v>
      </c>
      <c r="AM88" s="57"/>
      <c r="AN88" s="38"/>
    </row>
    <row r="89" spans="1:40" ht="15.75" x14ac:dyDescent="0.3">
      <c r="A89" s="5" t="s">
        <v>174</v>
      </c>
      <c r="B89" s="6" t="s">
        <v>288</v>
      </c>
      <c r="C89" s="6" t="s">
        <v>171</v>
      </c>
      <c r="D89" s="10" t="s">
        <v>148</v>
      </c>
      <c r="E89" s="8" t="s">
        <v>70</v>
      </c>
      <c r="F89" s="8">
        <v>2024</v>
      </c>
      <c r="G89" s="47">
        <v>512</v>
      </c>
      <c r="H89" s="47">
        <v>7429</v>
      </c>
      <c r="I89" s="47">
        <v>1317</v>
      </c>
      <c r="J89" s="47">
        <v>413</v>
      </c>
      <c r="K89" s="47">
        <v>3639</v>
      </c>
      <c r="L89" s="47">
        <v>1594</v>
      </c>
      <c r="M89" s="47">
        <v>15717</v>
      </c>
      <c r="N89" s="47">
        <v>3964</v>
      </c>
      <c r="O89" s="47" t="s">
        <v>172</v>
      </c>
      <c r="P89" s="47">
        <v>7725</v>
      </c>
      <c r="Q89" s="47">
        <v>7213</v>
      </c>
      <c r="R89" s="47">
        <v>5909</v>
      </c>
      <c r="S89" s="57">
        <v>5290</v>
      </c>
      <c r="T89" s="47">
        <v>6896</v>
      </c>
      <c r="U89" s="47">
        <v>0</v>
      </c>
      <c r="V89" s="47">
        <v>3113</v>
      </c>
      <c r="W89" s="47">
        <v>1193</v>
      </c>
      <c r="X89" s="47">
        <v>2293</v>
      </c>
      <c r="Y89" s="47">
        <v>2474</v>
      </c>
      <c r="Z89" s="47">
        <v>23295</v>
      </c>
      <c r="AA89" s="47">
        <v>4873</v>
      </c>
      <c r="AB89" s="47">
        <v>0</v>
      </c>
      <c r="AC89" s="47">
        <v>2415</v>
      </c>
      <c r="AD89" s="47">
        <v>5223</v>
      </c>
      <c r="AE89" s="47">
        <v>11821</v>
      </c>
      <c r="AF89" s="47" t="s">
        <v>172</v>
      </c>
      <c r="AG89" s="47">
        <v>4469</v>
      </c>
      <c r="AH89" s="47">
        <v>3232</v>
      </c>
      <c r="AI89" s="47">
        <v>1216</v>
      </c>
      <c r="AJ89" s="47">
        <v>4408</v>
      </c>
      <c r="AK89" s="47">
        <v>2511</v>
      </c>
      <c r="AL89" s="47">
        <v>4456</v>
      </c>
      <c r="AM89" s="57"/>
      <c r="AN89" s="38"/>
    </row>
    <row r="90" spans="1:40" ht="15.75" x14ac:dyDescent="0.3">
      <c r="A90" s="5" t="s">
        <v>175</v>
      </c>
      <c r="B90" s="6"/>
      <c r="C90" s="6" t="s">
        <v>171</v>
      </c>
      <c r="D90" s="10" t="s">
        <v>148</v>
      </c>
      <c r="E90" s="8" t="s">
        <v>70</v>
      </c>
      <c r="F90" s="8">
        <v>2024</v>
      </c>
      <c r="G90" s="47">
        <v>361</v>
      </c>
      <c r="H90" s="47">
        <v>4284</v>
      </c>
      <c r="I90" s="47">
        <v>1718</v>
      </c>
      <c r="J90" s="47">
        <v>0</v>
      </c>
      <c r="K90" s="47">
        <v>0</v>
      </c>
      <c r="L90" s="47">
        <v>27</v>
      </c>
      <c r="M90" s="47">
        <v>59</v>
      </c>
      <c r="N90" s="47" t="s">
        <v>172</v>
      </c>
      <c r="O90" s="47" t="s">
        <v>172</v>
      </c>
      <c r="P90" s="47">
        <v>477</v>
      </c>
      <c r="Q90" s="47">
        <v>0</v>
      </c>
      <c r="R90" s="47">
        <v>6247</v>
      </c>
      <c r="S90" s="57">
        <v>2169</v>
      </c>
      <c r="T90" s="47" t="s">
        <v>172</v>
      </c>
      <c r="U90" s="47" t="s">
        <v>172</v>
      </c>
      <c r="V90" s="47">
        <v>4000</v>
      </c>
      <c r="W90" s="47" t="s">
        <v>172</v>
      </c>
      <c r="X90" s="47">
        <v>0</v>
      </c>
      <c r="Y90" s="47" t="s">
        <v>172</v>
      </c>
      <c r="Z90" s="47">
        <v>337</v>
      </c>
      <c r="AA90" s="47" t="s">
        <v>172</v>
      </c>
      <c r="AB90" s="47" t="s">
        <v>176</v>
      </c>
      <c r="AC90" s="47" t="s">
        <v>172</v>
      </c>
      <c r="AD90" s="47" t="s">
        <v>172</v>
      </c>
      <c r="AE90" s="47" t="s">
        <v>172</v>
      </c>
      <c r="AF90" s="47" t="s">
        <v>172</v>
      </c>
      <c r="AG90" s="47">
        <v>331</v>
      </c>
      <c r="AH90" s="47" t="s">
        <v>172</v>
      </c>
      <c r="AI90" s="47" t="s">
        <v>172</v>
      </c>
      <c r="AJ90" s="47">
        <v>9344</v>
      </c>
      <c r="AK90" s="47">
        <v>3619</v>
      </c>
      <c r="AL90" s="47">
        <v>1295</v>
      </c>
      <c r="AM90" s="57"/>
      <c r="AN90" s="38"/>
    </row>
    <row r="91" spans="1:40" x14ac:dyDescent="0.25">
      <c r="A91" s="3"/>
      <c r="B91" s="3"/>
      <c r="C91" s="3"/>
      <c r="D91" s="3"/>
      <c r="E91" s="3"/>
      <c r="F91" s="3"/>
      <c r="G91" s="3"/>
      <c r="H91" s="39"/>
      <c r="I91" s="39"/>
      <c r="J91" s="39"/>
      <c r="K91" s="39"/>
      <c r="L91" s="3"/>
      <c r="M91" s="39"/>
      <c r="N91" s="3"/>
      <c r="O91" s="3"/>
      <c r="P91" s="39"/>
      <c r="Q91" s="39"/>
      <c r="R91" s="39"/>
      <c r="S91" s="40"/>
      <c r="T91" s="39"/>
      <c r="U91" s="3"/>
      <c r="V91" s="39"/>
      <c r="W91" s="3"/>
      <c r="X91" s="39"/>
      <c r="Y91" s="39"/>
      <c r="Z91" s="39"/>
      <c r="AA91" s="39"/>
      <c r="AB91" s="3"/>
      <c r="AC91" s="3"/>
      <c r="AD91" s="39"/>
      <c r="AE91" s="39"/>
      <c r="AF91" s="3"/>
      <c r="AG91" s="3"/>
      <c r="AH91" s="39"/>
      <c r="AI91" s="3"/>
      <c r="AJ91" s="39"/>
      <c r="AK91" s="39"/>
      <c r="AL91" s="39"/>
      <c r="AM91" s="40"/>
    </row>
    <row r="92" spans="1:40" x14ac:dyDescent="0.25"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2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</row>
  </sheetData>
  <mergeCells count="1">
    <mergeCell ref="AN30:BA30"/>
  </mergeCells>
  <conditionalFormatting sqref="G21:AL21">
    <cfRule type="expression" dxfId="56" priority="80">
      <formula>AND(G21&gt;=0, G21&lt;0.034)</formula>
    </cfRule>
    <cfRule type="expression" dxfId="55" priority="81">
      <formula>AND(G21&gt;=0.034, G21&lt;0.045)</formula>
    </cfRule>
    <cfRule type="expression" dxfId="54" priority="82">
      <formula>G21&lt;0</formula>
    </cfRule>
    <cfRule type="expression" dxfId="53" priority="83">
      <formula>G21&gt;=0.045</formula>
    </cfRule>
  </conditionalFormatting>
  <conditionalFormatting sqref="G22:AL22">
    <cfRule type="expression" dxfId="52" priority="79">
      <formula>G22&lt;G$38</formula>
    </cfRule>
  </conditionalFormatting>
  <conditionalFormatting sqref="H24:AL24">
    <cfRule type="expression" dxfId="51" priority="78">
      <formula>H24&gt;H$38</formula>
    </cfRule>
  </conditionalFormatting>
  <conditionalFormatting sqref="G25:X25 Z25:AL25">
    <cfRule type="expression" dxfId="50" priority="75" stopIfTrue="1">
      <formula>ROUND(G25,3)&gt;ROUND(G$37,3)</formula>
    </cfRule>
    <cfRule type="expression" dxfId="49" priority="76" stopIfTrue="1">
      <formula>OR(ROUND(G25,3)=0, AND(ROUND(G25,3)&lt;=ROUND(G$37,3), ROUND(G60,1)&lt;ROUND(G$72,1) ))</formula>
    </cfRule>
    <cfRule type="expression" dxfId="48" priority="77">
      <formula>AND(ROUND(G25,3)&lt;=ROUND(G$37,3), ROUND(G60,1)&gt;=ROUND(G$72,1) )</formula>
    </cfRule>
  </conditionalFormatting>
  <conditionalFormatting sqref="H26:AL26">
    <cfRule type="expression" dxfId="47" priority="74">
      <formula>H26&gt;H$38</formula>
    </cfRule>
  </conditionalFormatting>
  <conditionalFormatting sqref="G27:AL27">
    <cfRule type="expression" dxfId="46" priority="73">
      <formula>G27&gt;G$38</formula>
    </cfRule>
  </conditionalFormatting>
  <conditionalFormatting sqref="AM21">
    <cfRule type="expression" dxfId="45" priority="69">
      <formula>AND(AM21&gt;=0, AM21&lt;0.034)</formula>
    </cfRule>
    <cfRule type="expression" dxfId="44" priority="70">
      <formula>AND(AM21&gt;=0.034, AM21&lt;0.045)</formula>
    </cfRule>
    <cfRule type="expression" dxfId="43" priority="71">
      <formula>AM21&lt;0</formula>
    </cfRule>
    <cfRule type="expression" dxfId="42" priority="72">
      <formula>AM21&gt;=0.045</formula>
    </cfRule>
  </conditionalFormatting>
  <conditionalFormatting sqref="G28">
    <cfRule type="cellIs" dxfId="41" priority="64" operator="lessThan">
      <formula>0</formula>
    </cfRule>
  </conditionalFormatting>
  <conditionalFormatting sqref="H28">
    <cfRule type="cellIs" dxfId="40" priority="63" operator="lessThan">
      <formula>0</formula>
    </cfRule>
  </conditionalFormatting>
  <conditionalFormatting sqref="I28">
    <cfRule type="cellIs" dxfId="39" priority="62" operator="lessThan">
      <formula>0</formula>
    </cfRule>
  </conditionalFormatting>
  <conditionalFormatting sqref="J28">
    <cfRule type="cellIs" dxfId="38" priority="61" operator="lessThan">
      <formula>0</formula>
    </cfRule>
  </conditionalFormatting>
  <conditionalFormatting sqref="M28">
    <cfRule type="cellIs" dxfId="37" priority="60" operator="lessThan">
      <formula>0</formula>
    </cfRule>
  </conditionalFormatting>
  <conditionalFormatting sqref="N28">
    <cfRule type="cellIs" dxfId="36" priority="59" operator="lessThan">
      <formula>0</formula>
    </cfRule>
  </conditionalFormatting>
  <conditionalFormatting sqref="O28">
    <cfRule type="cellIs" dxfId="35" priority="58" operator="lessThan">
      <formula>0</formula>
    </cfRule>
  </conditionalFormatting>
  <conditionalFormatting sqref="K28">
    <cfRule type="cellIs" dxfId="34" priority="57" operator="lessThan">
      <formula>0</formula>
    </cfRule>
  </conditionalFormatting>
  <conditionalFormatting sqref="L28">
    <cfRule type="cellIs" dxfId="33" priority="56" operator="lessThan">
      <formula>0</formula>
    </cfRule>
  </conditionalFormatting>
  <conditionalFormatting sqref="P28">
    <cfRule type="cellIs" dxfId="32" priority="55" operator="lessThan">
      <formula>0</formula>
    </cfRule>
  </conditionalFormatting>
  <conditionalFormatting sqref="U28">
    <cfRule type="cellIs" dxfId="31" priority="54" operator="lessThan">
      <formula>0</formula>
    </cfRule>
  </conditionalFormatting>
  <conditionalFormatting sqref="Q28">
    <cfRule type="cellIs" dxfId="30" priority="53" operator="lessThan">
      <formula>0</formula>
    </cfRule>
  </conditionalFormatting>
  <conditionalFormatting sqref="R28">
    <cfRule type="cellIs" dxfId="29" priority="52" operator="lessThan">
      <formula>0</formula>
    </cfRule>
  </conditionalFormatting>
  <conditionalFormatting sqref="S28">
    <cfRule type="cellIs" dxfId="28" priority="51" operator="lessThan">
      <formula>0</formula>
    </cfRule>
  </conditionalFormatting>
  <conditionalFormatting sqref="T28">
    <cfRule type="cellIs" dxfId="27" priority="50" operator="lessThan">
      <formula>0</formula>
    </cfRule>
  </conditionalFormatting>
  <conditionalFormatting sqref="V28">
    <cfRule type="cellIs" dxfId="26" priority="49" operator="lessThan">
      <formula>0</formula>
    </cfRule>
  </conditionalFormatting>
  <conditionalFormatting sqref="W28">
    <cfRule type="cellIs" dxfId="25" priority="48" operator="lessThan">
      <formula>0</formula>
    </cfRule>
  </conditionalFormatting>
  <conditionalFormatting sqref="X28">
    <cfRule type="cellIs" dxfId="24" priority="47" operator="lessThan">
      <formula>0</formula>
    </cfRule>
  </conditionalFormatting>
  <conditionalFormatting sqref="Y28">
    <cfRule type="cellIs" dxfId="23" priority="46" operator="lessThan">
      <formula>0</formula>
    </cfRule>
  </conditionalFormatting>
  <conditionalFormatting sqref="Z28">
    <cfRule type="cellIs" dxfId="22" priority="45" operator="lessThan">
      <formula>0</formula>
    </cfRule>
  </conditionalFormatting>
  <conditionalFormatting sqref="AA28">
    <cfRule type="cellIs" dxfId="21" priority="44" operator="lessThan">
      <formula>0</formula>
    </cfRule>
  </conditionalFormatting>
  <conditionalFormatting sqref="AB28">
    <cfRule type="cellIs" dxfId="20" priority="43" operator="lessThan">
      <formula>0</formula>
    </cfRule>
  </conditionalFormatting>
  <conditionalFormatting sqref="AC28">
    <cfRule type="cellIs" dxfId="19" priority="42" operator="lessThan">
      <formula>0</formula>
    </cfRule>
  </conditionalFormatting>
  <conditionalFormatting sqref="AD28">
    <cfRule type="cellIs" dxfId="18" priority="41" operator="lessThan">
      <formula>0</formula>
    </cfRule>
  </conditionalFormatting>
  <conditionalFormatting sqref="AE28">
    <cfRule type="cellIs" dxfId="17" priority="40" operator="lessThan">
      <formula>0</formula>
    </cfRule>
  </conditionalFormatting>
  <conditionalFormatting sqref="AF28">
    <cfRule type="cellIs" dxfId="16" priority="39" operator="lessThan">
      <formula>0</formula>
    </cfRule>
  </conditionalFormatting>
  <conditionalFormatting sqref="AG28">
    <cfRule type="cellIs" dxfId="15" priority="38" operator="lessThan">
      <formula>0</formula>
    </cfRule>
  </conditionalFormatting>
  <conditionalFormatting sqref="AH28">
    <cfRule type="cellIs" dxfId="14" priority="37" operator="lessThan">
      <formula>0</formula>
    </cfRule>
  </conditionalFormatting>
  <conditionalFormatting sqref="AI28">
    <cfRule type="cellIs" dxfId="13" priority="36" operator="lessThan">
      <formula>0</formula>
    </cfRule>
  </conditionalFormatting>
  <conditionalFormatting sqref="AJ28">
    <cfRule type="cellIs" dxfId="12" priority="35" operator="lessThan">
      <formula>0</formula>
    </cfRule>
  </conditionalFormatting>
  <conditionalFormatting sqref="AK28">
    <cfRule type="cellIs" dxfId="11" priority="34" operator="lessThan">
      <formula>0</formula>
    </cfRule>
  </conditionalFormatting>
  <conditionalFormatting sqref="AL28">
    <cfRule type="cellIs" dxfId="10" priority="33" operator="lessThan">
      <formula>0</formula>
    </cfRule>
  </conditionalFormatting>
  <conditionalFormatting sqref="AM28">
    <cfRule type="cellIs" dxfId="9" priority="32" operator="lessThan">
      <formula>0</formula>
    </cfRule>
  </conditionalFormatting>
  <conditionalFormatting sqref="G26">
    <cfRule type="expression" dxfId="8" priority="31">
      <formula>G26&gt;G$38</formula>
    </cfRule>
  </conditionalFormatting>
  <conditionalFormatting sqref="Y25">
    <cfRule type="expression" dxfId="7" priority="84" stopIfTrue="1">
      <formula>ROUND(Y25,3)&gt;ROUND(Y$37,3)</formula>
    </cfRule>
    <cfRule type="expression" dxfId="6" priority="85" stopIfTrue="1">
      <formula>OR(ROUND(Y25,3)=0, AND(ROUND(Y25,3)&lt;=ROUND(Y$37,3), ROUND(Y60,1)&lt;ROUND(Y$73,1) ))</formula>
    </cfRule>
    <cfRule type="expression" dxfId="5" priority="86">
      <formula>AND(ROUND(Y25,3)&lt;=ROUND(Y$37,3), ROUND(Y60,1)&gt;=ROUND(Y$73,1) )</formula>
    </cfRule>
  </conditionalFormatting>
  <conditionalFormatting sqref="G24">
    <cfRule type="expression" dxfId="4" priority="30">
      <formula>G24&gt;G$38</formula>
    </cfRule>
  </conditionalFormatting>
  <conditionalFormatting sqref="AM25">
    <cfRule type="expression" dxfId="3" priority="26">
      <formula>AND(AM25&gt;=0, AM25&lt;0.034)</formula>
    </cfRule>
    <cfRule type="expression" dxfId="2" priority="27">
      <formula>AND(AM25&gt;=0.034, AM25&lt;0.045)</formula>
    </cfRule>
    <cfRule type="expression" dxfId="1" priority="28">
      <formula>AM25&lt;0</formula>
    </cfRule>
    <cfRule type="expression" dxfId="0" priority="29">
      <formula>AM25&gt;=0.045</formula>
    </cfRule>
  </conditionalFormatting>
  <hyperlinks>
    <hyperlink ref="D2" r:id="rId1" location="tabulados" xr:uid="{9F7F864D-C66F-4985-8665-6AAD13729AF7}"/>
    <hyperlink ref="D36" r:id="rId2" location="tabulados" display="https://www.inegi.org.mx/programas/enigh/nc/2022/ - tabulados" xr:uid="{1B095DDC-B356-4827-9C70-A5BDBB75CF8E}"/>
    <hyperlink ref="D33" r:id="rId3" display="https://www.coneval.org.mx/Medicion/Paginas/ITLP-IS_pobreza_laboral.aspx" xr:uid="{860AF343-D228-48C6-AE5C-AB0F142EB738}"/>
    <hyperlink ref="D30" r:id="rId4" display="https://www.coneval.org.mx/Medicion/Paginas/ITLP-IS_pobreza_laboral.aspx" xr:uid="{45E37243-0D54-471D-A07A-9BE4A6111E8A}"/>
    <hyperlink ref="D19" r:id="rId5" display="https://www.inegi.org.mx/app/tabulados/default.aspx?pr=18&amp;vr=1&amp;in=2&amp;tp=20&amp;wr=1&amp;cno=1&amp;idrt=3260&amp;opc=p" xr:uid="{B52A3CC0-E326-4168-B1CD-4699FAA26BF0}"/>
    <hyperlink ref="D32" r:id="rId6" xr:uid="{22C75831-8182-40DE-98A6-A16185A5E385}"/>
    <hyperlink ref="D44:D66" r:id="rId7" display="https://nube.siap.gob.mx/cierre_pecuario/" xr:uid="{B662C993-1C41-474F-B9CB-D24F2083087F}"/>
    <hyperlink ref="D43" r:id="rId8" xr:uid="{F6388B31-B68B-4AB6-AA9C-ACE31DBC77BC}"/>
    <hyperlink ref="D87" r:id="rId9" location="collapse-Tabulados" xr:uid="{FE2392EA-7E2C-442B-A007-6DDB0ACFBC99}"/>
    <hyperlink ref="D39" r:id="rId10" xr:uid="{F5EE2F82-D1DA-4C26-80A5-36FCE1A0E26A}"/>
    <hyperlink ref="D38" r:id="rId11" location="gid=1482074688" xr:uid="{8E4B1369-C43D-4325-8A13-B97D00B26388}"/>
    <hyperlink ref="D25" r:id="rId12" xr:uid="{249A8EE8-C317-402D-A99E-84CA3B39F610}"/>
    <hyperlink ref="D26" r:id="rId13" display="https://mexicocomovamos.mx/semaforos-estatales/" xr:uid="{6B338AA3-630F-4C8F-97EF-C1DC43D76E5B}"/>
    <hyperlink ref="D24" r:id="rId14" xr:uid="{7C196550-3669-4FFA-8020-29DE0D3CE68B}"/>
    <hyperlink ref="D23" r:id="rId15" xr:uid="{2A9EDACB-8F7A-4065-A5FC-EA493C94678F}"/>
    <hyperlink ref="D22" r:id="rId16" display="https://mexicocomovamos.mx/semaforos-estatales/" xr:uid="{B69CDF27-A25C-4FD0-A3FF-9DE1D36B1A0E}"/>
    <hyperlink ref="D21" r:id="rId17" xr:uid="{AA447D65-9776-49E3-85C7-98DF4006EE79}"/>
    <hyperlink ref="D20" r:id="rId18" location="tablero" display="https://imco.org.mx/indice-de-competitividad-estatal-2024/#tablero" xr:uid="{4EB4CA79-2D4F-4136-A867-00E5879C2A44}"/>
    <hyperlink ref="D34" r:id="rId19" xr:uid="{B3E42FD1-0C5D-49E4-874E-BE362F37D186}"/>
    <hyperlink ref="D35" r:id="rId20" xr:uid="{9A29A19F-1F18-4608-9B2D-F4D3F88A97CA}"/>
    <hyperlink ref="D31" r:id="rId21" display="https://www.coneval.org.mx/Medicion/Documents/ITLP_IS/2024/2T2024/Indicadores_pobreza_laboral_nacional_y_estatal_Sep_2024.pdf" xr:uid="{80E488A2-3372-4BCA-9C49-0DB82AE7684B}"/>
    <hyperlink ref="D17" r:id="rId22" xr:uid="{5A5E187D-A8B2-48DC-BD84-0C5C0632229E}"/>
    <hyperlink ref="D18" r:id="rId23" location="tabulados" display="https://www.inegi.org.mx/programas/aief/2018/ - tabulados" xr:uid="{71250A2E-971C-46E9-B5D0-CE1AE77162C3}"/>
    <hyperlink ref="D29" r:id="rId24" xr:uid="{B3E27C0D-1DF2-4D6F-BF98-6B682ABB715F}"/>
    <hyperlink ref="D14" r:id="rId25" display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xr:uid="{6F8C9C34-30CA-4C62-B526-C6C5481C698E}"/>
    <hyperlink ref="D69" r:id="rId26" location="collapse-Tabulados" display="https://www.inegi.org.mx/app/areasgeograficas/?ag=0700 - collapse-Tabulados" xr:uid="{BA24AB6F-11D2-4FE4-AC95-41FF990C775F}"/>
    <hyperlink ref="D70" r:id="rId27" location="collapse-Tabulados" display="https://www.inegi.org.mx/app/areasgeograficas/?ag=0700 - collapse-Tabulados" xr:uid="{263C0B70-9943-449E-AAB0-862BC0038A89}"/>
    <hyperlink ref="D71:D77" r:id="rId28" location="collapse-Tabulados" display="https://www.inegi.org.mx/app/areasgeograficas/?ag=0700 - collapse-Tabulados" xr:uid="{0454E122-6A8D-4BEE-91DE-B1A7C6ADF359}"/>
    <hyperlink ref="D78:D81" r:id="rId29" location="collapse-Tabulados" display="https://www.inegi.org.mx/app/areasgeograficas/?ag=0700 - collapse-Tabulados" xr:uid="{F909041D-9587-4FC8-ABFF-8F9BA46ACE99}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6897-2997-49BD-A2D6-950FA349B611}">
  <dimension ref="A1:D34"/>
  <sheetViews>
    <sheetView topLeftCell="A7" workbookViewId="0">
      <selection sqref="A1:D34"/>
    </sheetView>
  </sheetViews>
  <sheetFormatPr baseColWidth="10" defaultRowHeight="15" x14ac:dyDescent="0.25"/>
  <cols>
    <col min="1" max="1" width="21.28515625" bestFit="1" customWidth="1"/>
    <col min="2" max="2" width="13.7109375" bestFit="1" customWidth="1"/>
    <col min="3" max="4" width="12.7109375" bestFit="1" customWidth="1"/>
  </cols>
  <sheetData>
    <row r="1" spans="1:4" x14ac:dyDescent="0.25">
      <c r="B1" t="s">
        <v>285</v>
      </c>
      <c r="C1" t="s">
        <v>286</v>
      </c>
      <c r="D1" t="s">
        <v>287</v>
      </c>
    </row>
    <row r="2" spans="1:4" ht="18" x14ac:dyDescent="0.25">
      <c r="A2" s="1" t="s">
        <v>5</v>
      </c>
      <c r="B2" s="79">
        <v>971931.76</v>
      </c>
      <c r="C2" s="79">
        <v>152533.14000000001</v>
      </c>
      <c r="D2" s="79">
        <v>1124464.8999999999</v>
      </c>
    </row>
    <row r="3" spans="1:4" ht="18" x14ac:dyDescent="0.25">
      <c r="A3" s="1" t="s">
        <v>6</v>
      </c>
      <c r="B3" s="79">
        <v>3081610.75</v>
      </c>
      <c r="C3" s="79">
        <v>1715782.47</v>
      </c>
      <c r="D3" s="79">
        <v>4797393.22</v>
      </c>
    </row>
    <row r="4" spans="1:4" ht="18" x14ac:dyDescent="0.25">
      <c r="A4" s="1" t="s">
        <v>7</v>
      </c>
      <c r="B4" s="79">
        <v>1440046.21</v>
      </c>
      <c r="C4" s="79">
        <v>2571128.7200000002</v>
      </c>
      <c r="D4" s="79">
        <v>4011174.93</v>
      </c>
    </row>
    <row r="5" spans="1:4" ht="18" x14ac:dyDescent="0.25">
      <c r="A5" s="1" t="s">
        <v>8</v>
      </c>
      <c r="B5" s="79">
        <v>1332700.69</v>
      </c>
      <c r="C5" s="79">
        <v>192266.26</v>
      </c>
      <c r="D5" s="79">
        <v>1524966.95</v>
      </c>
    </row>
    <row r="6" spans="1:4" ht="18" x14ac:dyDescent="0.25">
      <c r="A6" s="1" t="s">
        <v>9</v>
      </c>
      <c r="B6" s="79">
        <v>1971990.99</v>
      </c>
      <c r="C6" s="79">
        <v>300488.5</v>
      </c>
      <c r="D6" s="79">
        <v>2272479.4900000002</v>
      </c>
    </row>
    <row r="7" spans="1:4" ht="18" x14ac:dyDescent="0.25">
      <c r="A7" s="1" t="s">
        <v>10</v>
      </c>
      <c r="B7" s="79">
        <v>1854231.62</v>
      </c>
      <c r="C7" s="79">
        <v>48824.25</v>
      </c>
      <c r="D7" s="79">
        <v>1903055.87</v>
      </c>
    </row>
    <row r="8" spans="1:4" ht="18" x14ac:dyDescent="0.25">
      <c r="A8" s="1" t="s">
        <v>11</v>
      </c>
      <c r="B8" s="79">
        <v>3556949.38</v>
      </c>
      <c r="C8" s="79">
        <v>630802.43999999994</v>
      </c>
      <c r="D8" s="79">
        <v>4187751.82</v>
      </c>
    </row>
    <row r="9" spans="1:4" ht="18" x14ac:dyDescent="0.25">
      <c r="A9" s="1" t="s">
        <v>12</v>
      </c>
      <c r="B9" s="79">
        <v>5213247.87</v>
      </c>
      <c r="C9" s="79">
        <v>532878.97</v>
      </c>
      <c r="D9" s="79">
        <v>5746126.8399999999</v>
      </c>
    </row>
    <row r="10" spans="1:4" ht="18" x14ac:dyDescent="0.25">
      <c r="A10" s="1" t="s">
        <v>13</v>
      </c>
      <c r="B10" s="79">
        <v>8899365</v>
      </c>
      <c r="C10" s="79">
        <v>3093694</v>
      </c>
      <c r="D10" s="79">
        <v>11993059</v>
      </c>
    </row>
    <row r="11" spans="1:4" ht="18" x14ac:dyDescent="0.25">
      <c r="A11" s="1" t="s">
        <v>14</v>
      </c>
      <c r="B11" s="79">
        <v>868350.16</v>
      </c>
      <c r="C11" s="79">
        <v>12751.37</v>
      </c>
      <c r="D11" s="79">
        <v>881101.53</v>
      </c>
    </row>
    <row r="12" spans="1:4" ht="18" x14ac:dyDescent="0.25">
      <c r="A12" s="1" t="s">
        <v>15</v>
      </c>
      <c r="B12" s="79">
        <v>4463474</v>
      </c>
      <c r="C12" s="79">
        <v>243933</v>
      </c>
      <c r="D12" s="79">
        <v>4707407</v>
      </c>
    </row>
    <row r="13" spans="1:4" ht="18" x14ac:dyDescent="0.25">
      <c r="A13" s="1" t="s">
        <v>16</v>
      </c>
      <c r="B13" s="79">
        <v>8220586.25</v>
      </c>
      <c r="C13" s="79">
        <v>187665.26</v>
      </c>
      <c r="D13" s="79">
        <v>8408251.5099999998</v>
      </c>
    </row>
    <row r="14" spans="1:4" ht="18" x14ac:dyDescent="0.25">
      <c r="A14" s="2" t="s">
        <v>17</v>
      </c>
      <c r="B14" s="79">
        <v>2742343</v>
      </c>
      <c r="C14" s="79">
        <v>107050</v>
      </c>
      <c r="D14" s="79">
        <v>2849393</v>
      </c>
    </row>
    <row r="15" spans="1:4" ht="18" x14ac:dyDescent="0.25">
      <c r="A15" s="1" t="s">
        <v>18</v>
      </c>
      <c r="B15" s="79">
        <v>9398579.4100000001</v>
      </c>
      <c r="C15" s="79">
        <v>1670341.16</v>
      </c>
      <c r="D15" s="79">
        <v>11068920.57</v>
      </c>
    </row>
    <row r="16" spans="1:4" ht="18" x14ac:dyDescent="0.25">
      <c r="A16" s="1" t="s">
        <v>19</v>
      </c>
      <c r="B16" s="79">
        <v>3125957.82</v>
      </c>
      <c r="C16" s="79">
        <v>192554.18</v>
      </c>
      <c r="D16" s="79">
        <v>3318512</v>
      </c>
    </row>
    <row r="17" spans="1:4" ht="18" x14ac:dyDescent="0.25">
      <c r="A17" s="1" t="s">
        <v>20</v>
      </c>
      <c r="B17" s="79">
        <v>2438345.62</v>
      </c>
      <c r="C17" s="79">
        <v>319486.36</v>
      </c>
      <c r="D17" s="79">
        <v>2757831.98</v>
      </c>
    </row>
    <row r="18" spans="1:4" ht="18" x14ac:dyDescent="0.25">
      <c r="A18" s="1" t="s">
        <v>21</v>
      </c>
      <c r="B18" s="79">
        <v>1601166.32</v>
      </c>
      <c r="C18" s="79">
        <v>225634.45</v>
      </c>
      <c r="D18" s="79">
        <v>1826800.77</v>
      </c>
    </row>
    <row r="19" spans="1:4" ht="18" x14ac:dyDescent="0.25">
      <c r="A19" s="1" t="s">
        <v>22</v>
      </c>
      <c r="B19" s="79">
        <v>1843930.53</v>
      </c>
      <c r="C19" s="79">
        <v>775187.55</v>
      </c>
      <c r="D19" s="79">
        <v>2619118.08</v>
      </c>
    </row>
    <row r="20" spans="1:4" ht="18" x14ac:dyDescent="0.25">
      <c r="A20" s="1" t="s">
        <v>23</v>
      </c>
      <c r="B20" s="79">
        <v>3260034.14</v>
      </c>
      <c r="C20" s="79">
        <v>644964.68999999994</v>
      </c>
      <c r="D20" s="79">
        <v>3904998.83</v>
      </c>
    </row>
    <row r="21" spans="1:4" ht="18" x14ac:dyDescent="0.25">
      <c r="A21" s="1" t="s">
        <v>24</v>
      </c>
      <c r="B21" s="79">
        <v>3662427.5</v>
      </c>
      <c r="C21" s="79">
        <v>315103.18</v>
      </c>
      <c r="D21" s="79">
        <v>3977530.68</v>
      </c>
    </row>
    <row r="22" spans="1:4" ht="18" x14ac:dyDescent="0.25">
      <c r="A22" s="1" t="s">
        <v>25</v>
      </c>
      <c r="B22" s="79">
        <v>5601762</v>
      </c>
      <c r="C22" s="79">
        <v>703776</v>
      </c>
      <c r="D22" s="79">
        <v>6305538</v>
      </c>
    </row>
    <row r="23" spans="1:4" ht="18" x14ac:dyDescent="0.25">
      <c r="A23" s="1" t="s">
        <v>26</v>
      </c>
      <c r="B23" s="79">
        <v>2510275.5499999998</v>
      </c>
      <c r="C23" s="79">
        <v>178857.05</v>
      </c>
      <c r="D23" s="79">
        <v>2689132.5999999996</v>
      </c>
    </row>
    <row r="24" spans="1:4" ht="18" x14ac:dyDescent="0.25">
      <c r="A24" s="1" t="s">
        <v>27</v>
      </c>
      <c r="B24" s="79">
        <v>4002125.49</v>
      </c>
      <c r="C24" s="79">
        <v>12879888.390000001</v>
      </c>
      <c r="D24" s="79">
        <v>16882013.880000003</v>
      </c>
    </row>
    <row r="25" spans="1:4" ht="18" x14ac:dyDescent="0.25">
      <c r="A25" s="1" t="s">
        <v>28</v>
      </c>
      <c r="B25" s="79">
        <v>1949851.81</v>
      </c>
      <c r="C25" s="79">
        <v>106357.94</v>
      </c>
      <c r="D25" s="79">
        <v>2056209.75</v>
      </c>
    </row>
    <row r="26" spans="1:4" ht="18" x14ac:dyDescent="0.25">
      <c r="A26" s="1" t="s">
        <v>29</v>
      </c>
      <c r="B26" s="79">
        <v>4091044.5</v>
      </c>
      <c r="C26" s="79">
        <v>617947.30000000005</v>
      </c>
      <c r="D26" s="79">
        <v>4708991.8</v>
      </c>
    </row>
    <row r="27" spans="1:4" ht="18" x14ac:dyDescent="0.25">
      <c r="A27" s="1" t="s">
        <v>30</v>
      </c>
      <c r="B27" s="79">
        <v>2252797.59</v>
      </c>
      <c r="C27" s="79">
        <v>256863.42</v>
      </c>
      <c r="D27" s="79">
        <v>2509661.0099999998</v>
      </c>
    </row>
    <row r="28" spans="1:4" ht="18" x14ac:dyDescent="0.25">
      <c r="A28" s="1" t="s">
        <v>31</v>
      </c>
      <c r="B28" s="79">
        <v>1416743.81</v>
      </c>
      <c r="C28" s="79">
        <v>68892.34</v>
      </c>
      <c r="D28" s="79">
        <v>1485636.1500000001</v>
      </c>
    </row>
    <row r="29" spans="1:4" ht="18" x14ac:dyDescent="0.25">
      <c r="A29" s="1" t="s">
        <v>32</v>
      </c>
      <c r="B29" s="79">
        <v>3185779.63</v>
      </c>
      <c r="C29" s="79">
        <v>239558.25</v>
      </c>
      <c r="D29" s="79">
        <v>3425337.88</v>
      </c>
    </row>
    <row r="30" spans="1:4" ht="18" x14ac:dyDescent="0.25">
      <c r="A30" s="1" t="s">
        <v>33</v>
      </c>
      <c r="B30" s="79">
        <v>358137.06</v>
      </c>
      <c r="C30" s="79">
        <v>61967.98</v>
      </c>
      <c r="D30" s="79">
        <v>420105.04</v>
      </c>
    </row>
    <row r="31" spans="1:4" ht="18" x14ac:dyDescent="0.25">
      <c r="A31" s="1" t="s">
        <v>34</v>
      </c>
      <c r="B31" s="79">
        <v>5478042.0999999996</v>
      </c>
      <c r="C31" s="79">
        <v>280524.92</v>
      </c>
      <c r="D31" s="79">
        <v>5758567.0199999996</v>
      </c>
    </row>
    <row r="32" spans="1:4" ht="18" x14ac:dyDescent="0.25">
      <c r="A32" s="1" t="s">
        <v>35</v>
      </c>
      <c r="B32" s="79">
        <v>2492720.1</v>
      </c>
      <c r="C32" s="79">
        <v>550196.88</v>
      </c>
      <c r="D32" s="79">
        <v>3042916.98</v>
      </c>
    </row>
    <row r="33" spans="1:4" ht="18" x14ac:dyDescent="0.25">
      <c r="A33" s="1" t="s">
        <v>36</v>
      </c>
      <c r="B33" s="79">
        <v>570736.57999999996</v>
      </c>
      <c r="C33" s="79">
        <v>44594.2</v>
      </c>
      <c r="D33" s="79">
        <v>615330.77999999991</v>
      </c>
    </row>
    <row r="34" spans="1:4" x14ac:dyDescent="0.25">
      <c r="B34" s="79">
        <f>SUM(B2:B33)</f>
        <v>103857285.23999999</v>
      </c>
      <c r="C34" s="46">
        <f>SUM(C2:C33)</f>
        <v>29922494.620000005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usuario4</dc:creator>
  <cp:lastModifiedBy>SIGEH</cp:lastModifiedBy>
  <dcterms:created xsi:type="dcterms:W3CDTF">2025-05-08T22:52:24Z</dcterms:created>
  <dcterms:modified xsi:type="dcterms:W3CDTF">2025-07-30T16:17:00Z</dcterms:modified>
</cp:coreProperties>
</file>